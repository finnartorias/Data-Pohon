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nda\"/>
    </mc:Choice>
  </mc:AlternateContent>
  <xr:revisionPtr revIDLastSave="0" documentId="8_{A264AE98-605A-48F4-87D4-4DE85D2AF3EA}" xr6:coauthVersionLast="47" xr6:coauthVersionMax="47" xr10:uidLastSave="{00000000-0000-0000-0000-000000000000}"/>
  <bookViews>
    <workbookView xWindow="-110" yWindow="-110" windowWidth="19420" windowHeight="10300" xr2:uid="{ED95555F-FA29-4E43-A1E5-0B7E5A00C6C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6" i="1" l="1"/>
  <c r="G276" i="1" s="1"/>
  <c r="H276" i="1" s="1"/>
  <c r="I276" i="1" s="1"/>
  <c r="J276" i="1" s="1"/>
  <c r="F275" i="1"/>
  <c r="G275" i="1" s="1"/>
  <c r="H275" i="1" s="1"/>
  <c r="I275" i="1" s="1"/>
  <c r="J275" i="1" s="1"/>
  <c r="F274" i="1"/>
  <c r="G274" i="1" s="1"/>
  <c r="H274" i="1" s="1"/>
  <c r="I274" i="1" s="1"/>
  <c r="J274" i="1" s="1"/>
  <c r="F273" i="1"/>
  <c r="G273" i="1" s="1"/>
  <c r="H273" i="1" s="1"/>
  <c r="I273" i="1" s="1"/>
  <c r="J273" i="1" s="1"/>
  <c r="G272" i="1"/>
  <c r="H272" i="1" s="1"/>
  <c r="I272" i="1" s="1"/>
  <c r="J272" i="1" s="1"/>
  <c r="F271" i="1"/>
  <c r="G271" i="1" s="1"/>
  <c r="H271" i="1" s="1"/>
  <c r="I271" i="1" s="1"/>
  <c r="J271" i="1" s="1"/>
  <c r="G270" i="1"/>
  <c r="H270" i="1" s="1"/>
  <c r="I270" i="1" s="1"/>
  <c r="J270" i="1" s="1"/>
  <c r="F269" i="1"/>
  <c r="G269" i="1" s="1"/>
  <c r="H269" i="1" s="1"/>
  <c r="I269" i="1" s="1"/>
  <c r="J269" i="1" s="1"/>
  <c r="F268" i="1"/>
  <c r="G268" i="1" s="1"/>
  <c r="H268" i="1" s="1"/>
  <c r="I268" i="1" s="1"/>
  <c r="J268" i="1" s="1"/>
  <c r="F267" i="1"/>
  <c r="G267" i="1" s="1"/>
  <c r="H267" i="1" s="1"/>
  <c r="I267" i="1" s="1"/>
  <c r="J267" i="1" s="1"/>
  <c r="F266" i="1"/>
  <c r="G266" i="1" s="1"/>
  <c r="H266" i="1" s="1"/>
  <c r="I266" i="1" s="1"/>
  <c r="J266" i="1" s="1"/>
  <c r="F265" i="1"/>
  <c r="G265" i="1" s="1"/>
  <c r="H265" i="1" s="1"/>
  <c r="I265" i="1" s="1"/>
  <c r="J265" i="1" s="1"/>
  <c r="F264" i="1"/>
  <c r="G264" i="1" s="1"/>
  <c r="H264" i="1" s="1"/>
  <c r="I264" i="1" s="1"/>
  <c r="J264" i="1" s="1"/>
  <c r="F263" i="1"/>
  <c r="G263" i="1" s="1"/>
  <c r="H263" i="1" s="1"/>
  <c r="I263" i="1" s="1"/>
  <c r="J263" i="1" s="1"/>
  <c r="F262" i="1"/>
  <c r="G262" i="1" s="1"/>
  <c r="H262" i="1" s="1"/>
  <c r="I262" i="1" s="1"/>
  <c r="J262" i="1" s="1"/>
  <c r="F261" i="1"/>
  <c r="G261" i="1" s="1"/>
  <c r="H261" i="1" s="1"/>
  <c r="I261" i="1" s="1"/>
  <c r="J261" i="1" s="1"/>
  <c r="F260" i="1"/>
  <c r="G260" i="1" s="1"/>
  <c r="H260" i="1" s="1"/>
  <c r="I260" i="1" s="1"/>
  <c r="J260" i="1" s="1"/>
  <c r="F259" i="1"/>
  <c r="G259" i="1" s="1"/>
  <c r="H259" i="1" s="1"/>
  <c r="I259" i="1" s="1"/>
  <c r="J259" i="1" s="1"/>
  <c r="F258" i="1"/>
  <c r="G258" i="1" s="1"/>
  <c r="H258" i="1" s="1"/>
  <c r="I258" i="1" s="1"/>
  <c r="J258" i="1" s="1"/>
  <c r="F257" i="1"/>
  <c r="G257" i="1" s="1"/>
  <c r="H257" i="1" s="1"/>
  <c r="I257" i="1" s="1"/>
  <c r="J257" i="1" s="1"/>
  <c r="F256" i="1"/>
  <c r="G256" i="1" s="1"/>
  <c r="H256" i="1" s="1"/>
  <c r="I256" i="1" s="1"/>
  <c r="J256" i="1" s="1"/>
  <c r="F255" i="1"/>
  <c r="G255" i="1" s="1"/>
  <c r="H255" i="1" s="1"/>
  <c r="I255" i="1" s="1"/>
  <c r="J255" i="1" s="1"/>
  <c r="G254" i="1"/>
  <c r="H254" i="1" s="1"/>
  <c r="I254" i="1" s="1"/>
  <c r="J254" i="1" s="1"/>
  <c r="F254" i="1"/>
  <c r="F253" i="1"/>
  <c r="G253" i="1" s="1"/>
  <c r="H253" i="1" s="1"/>
  <c r="I253" i="1" s="1"/>
  <c r="J253" i="1" s="1"/>
  <c r="F252" i="1"/>
  <c r="G252" i="1" s="1"/>
  <c r="H252" i="1" s="1"/>
  <c r="I252" i="1" s="1"/>
  <c r="J252" i="1" s="1"/>
  <c r="F251" i="1"/>
  <c r="G251" i="1" s="1"/>
  <c r="H251" i="1" s="1"/>
  <c r="I251" i="1" s="1"/>
  <c r="J251" i="1" s="1"/>
  <c r="F250" i="1"/>
  <c r="G250" i="1" s="1"/>
  <c r="H250" i="1" s="1"/>
  <c r="I250" i="1" s="1"/>
  <c r="J250" i="1" s="1"/>
  <c r="F249" i="1"/>
  <c r="G249" i="1" s="1"/>
  <c r="H249" i="1" s="1"/>
  <c r="I249" i="1" s="1"/>
  <c r="J249" i="1" s="1"/>
  <c r="F248" i="1"/>
  <c r="G248" i="1" s="1"/>
  <c r="H248" i="1" s="1"/>
  <c r="I248" i="1" s="1"/>
  <c r="J248" i="1" s="1"/>
  <c r="F247" i="1"/>
  <c r="G247" i="1" s="1"/>
  <c r="H247" i="1" s="1"/>
  <c r="I247" i="1" s="1"/>
  <c r="J247" i="1" s="1"/>
  <c r="F246" i="1"/>
  <c r="G246" i="1" s="1"/>
  <c r="H246" i="1" s="1"/>
  <c r="I246" i="1" s="1"/>
  <c r="J246" i="1" s="1"/>
  <c r="F245" i="1"/>
  <c r="G245" i="1" s="1"/>
  <c r="H245" i="1" s="1"/>
  <c r="I245" i="1" s="1"/>
  <c r="J245" i="1" s="1"/>
  <c r="F244" i="1"/>
  <c r="G244" i="1" s="1"/>
  <c r="H244" i="1" s="1"/>
  <c r="I244" i="1" s="1"/>
  <c r="J244" i="1" s="1"/>
  <c r="F243" i="1"/>
  <c r="G243" i="1" s="1"/>
  <c r="H243" i="1" s="1"/>
  <c r="I243" i="1" s="1"/>
  <c r="J243" i="1" s="1"/>
  <c r="F242" i="1"/>
  <c r="G242" i="1" s="1"/>
  <c r="H242" i="1" s="1"/>
  <c r="I242" i="1" s="1"/>
  <c r="J242" i="1" s="1"/>
  <c r="F241" i="1"/>
  <c r="G241" i="1" s="1"/>
  <c r="H241" i="1" s="1"/>
  <c r="I241" i="1" s="1"/>
  <c r="J241" i="1" s="1"/>
  <c r="G240" i="1"/>
  <c r="H240" i="1" s="1"/>
  <c r="I240" i="1" s="1"/>
  <c r="J240" i="1" s="1"/>
  <c r="F239" i="1"/>
  <c r="G239" i="1" s="1"/>
  <c r="H239" i="1" s="1"/>
  <c r="I239" i="1" s="1"/>
  <c r="J239" i="1" s="1"/>
  <c r="F238" i="1"/>
  <c r="G238" i="1" s="1"/>
  <c r="H238" i="1" s="1"/>
  <c r="I238" i="1" s="1"/>
  <c r="J238" i="1" s="1"/>
  <c r="F237" i="1"/>
  <c r="G237" i="1" s="1"/>
  <c r="H237" i="1" s="1"/>
  <c r="I237" i="1" s="1"/>
  <c r="J237" i="1" s="1"/>
  <c r="F236" i="1"/>
  <c r="G236" i="1" s="1"/>
  <c r="H236" i="1" s="1"/>
  <c r="I236" i="1" s="1"/>
  <c r="J236" i="1" s="1"/>
  <c r="G235" i="1"/>
  <c r="H235" i="1" s="1"/>
  <c r="I235" i="1" s="1"/>
  <c r="J235" i="1" s="1"/>
  <c r="F234" i="1"/>
  <c r="G234" i="1" s="1"/>
  <c r="H234" i="1" s="1"/>
  <c r="I234" i="1" s="1"/>
  <c r="J234" i="1" s="1"/>
  <c r="F233" i="1"/>
  <c r="G233" i="1" s="1"/>
  <c r="H233" i="1" s="1"/>
  <c r="I233" i="1" s="1"/>
  <c r="J233" i="1" s="1"/>
  <c r="G232" i="1"/>
  <c r="H232" i="1" s="1"/>
  <c r="I232" i="1" s="1"/>
  <c r="J232" i="1" s="1"/>
  <c r="F232" i="1"/>
  <c r="F231" i="1"/>
  <c r="G231" i="1" s="1"/>
  <c r="H231" i="1" s="1"/>
  <c r="I231" i="1" s="1"/>
  <c r="J231" i="1" s="1"/>
  <c r="F230" i="1"/>
  <c r="G230" i="1" s="1"/>
  <c r="H230" i="1" s="1"/>
  <c r="I230" i="1" s="1"/>
  <c r="J230" i="1" s="1"/>
  <c r="F229" i="1"/>
  <c r="G229" i="1" s="1"/>
  <c r="H229" i="1" s="1"/>
  <c r="I229" i="1" s="1"/>
  <c r="J229" i="1" s="1"/>
  <c r="F228" i="1"/>
  <c r="G228" i="1" s="1"/>
  <c r="H228" i="1" s="1"/>
  <c r="I228" i="1" s="1"/>
  <c r="J228" i="1" s="1"/>
  <c r="F227" i="1"/>
  <c r="G227" i="1" s="1"/>
  <c r="H227" i="1" s="1"/>
  <c r="I227" i="1" s="1"/>
  <c r="J227" i="1" s="1"/>
  <c r="F226" i="1"/>
  <c r="G226" i="1" s="1"/>
  <c r="H226" i="1" s="1"/>
  <c r="I226" i="1" s="1"/>
  <c r="J226" i="1" s="1"/>
  <c r="F225" i="1"/>
  <c r="G225" i="1" s="1"/>
  <c r="H225" i="1" s="1"/>
  <c r="I225" i="1" s="1"/>
  <c r="J225" i="1" s="1"/>
  <c r="F224" i="1"/>
  <c r="G224" i="1" s="1"/>
  <c r="H224" i="1" s="1"/>
  <c r="I224" i="1" s="1"/>
  <c r="J224" i="1" s="1"/>
  <c r="F223" i="1"/>
  <c r="G223" i="1" s="1"/>
  <c r="H223" i="1" s="1"/>
  <c r="I223" i="1" s="1"/>
  <c r="J223" i="1" s="1"/>
  <c r="F222" i="1"/>
  <c r="G222" i="1" s="1"/>
  <c r="H222" i="1" s="1"/>
  <c r="I222" i="1" s="1"/>
  <c r="J222" i="1" s="1"/>
  <c r="F221" i="1"/>
  <c r="G221" i="1" s="1"/>
  <c r="H221" i="1" s="1"/>
  <c r="I221" i="1" s="1"/>
  <c r="J221" i="1" s="1"/>
  <c r="F220" i="1"/>
  <c r="G220" i="1" s="1"/>
  <c r="H220" i="1" s="1"/>
  <c r="I220" i="1" s="1"/>
  <c r="J220" i="1" s="1"/>
  <c r="F219" i="1"/>
  <c r="G219" i="1" s="1"/>
  <c r="H219" i="1" s="1"/>
  <c r="I219" i="1" s="1"/>
  <c r="J219" i="1" s="1"/>
  <c r="F218" i="1"/>
  <c r="G218" i="1" s="1"/>
  <c r="H218" i="1" s="1"/>
  <c r="I218" i="1" s="1"/>
  <c r="J218" i="1" s="1"/>
  <c r="F217" i="1"/>
  <c r="G217" i="1" s="1"/>
  <c r="H217" i="1" s="1"/>
  <c r="I217" i="1" s="1"/>
  <c r="J217" i="1" s="1"/>
  <c r="G216" i="1"/>
  <c r="H216" i="1" s="1"/>
  <c r="I216" i="1" s="1"/>
  <c r="J216" i="1" s="1"/>
  <c r="F215" i="1"/>
  <c r="G215" i="1" s="1"/>
  <c r="H215" i="1" s="1"/>
  <c r="I215" i="1" s="1"/>
  <c r="J215" i="1" s="1"/>
  <c r="F214" i="1"/>
  <c r="G214" i="1" s="1"/>
  <c r="H214" i="1" s="1"/>
  <c r="I214" i="1" s="1"/>
  <c r="J214" i="1" s="1"/>
  <c r="F213" i="1"/>
  <c r="G213" i="1" s="1"/>
  <c r="H213" i="1" s="1"/>
  <c r="I213" i="1" s="1"/>
  <c r="J213" i="1" s="1"/>
  <c r="F212" i="1"/>
  <c r="G212" i="1" s="1"/>
  <c r="H212" i="1" s="1"/>
  <c r="I212" i="1" s="1"/>
  <c r="J212" i="1" s="1"/>
  <c r="F211" i="1"/>
  <c r="G211" i="1" s="1"/>
  <c r="H211" i="1" s="1"/>
  <c r="I211" i="1" s="1"/>
  <c r="J211" i="1" s="1"/>
  <c r="F210" i="1"/>
  <c r="G210" i="1" s="1"/>
  <c r="H210" i="1" s="1"/>
  <c r="I210" i="1" s="1"/>
  <c r="J210" i="1" s="1"/>
  <c r="G209" i="1"/>
  <c r="H209" i="1" s="1"/>
  <c r="I209" i="1" s="1"/>
  <c r="J209" i="1" s="1"/>
  <c r="F208" i="1"/>
  <c r="G208" i="1" s="1"/>
  <c r="H208" i="1" s="1"/>
  <c r="I208" i="1" s="1"/>
  <c r="J208" i="1" s="1"/>
  <c r="F207" i="1"/>
  <c r="G207" i="1" s="1"/>
  <c r="H207" i="1" s="1"/>
  <c r="I207" i="1" s="1"/>
  <c r="J207" i="1" s="1"/>
  <c r="F206" i="1"/>
  <c r="G206" i="1" s="1"/>
  <c r="H206" i="1" s="1"/>
  <c r="I206" i="1" s="1"/>
  <c r="J206" i="1" s="1"/>
  <c r="F205" i="1"/>
  <c r="G205" i="1" s="1"/>
  <c r="H205" i="1" s="1"/>
  <c r="I205" i="1" s="1"/>
  <c r="J205" i="1" s="1"/>
  <c r="F204" i="1"/>
  <c r="G204" i="1" s="1"/>
  <c r="H204" i="1" s="1"/>
  <c r="I204" i="1" s="1"/>
  <c r="J204" i="1" s="1"/>
  <c r="F203" i="1"/>
  <c r="G203" i="1" s="1"/>
  <c r="H203" i="1" s="1"/>
  <c r="I203" i="1" s="1"/>
  <c r="J203" i="1" s="1"/>
  <c r="F202" i="1"/>
  <c r="G202" i="1" s="1"/>
  <c r="H202" i="1" s="1"/>
  <c r="I202" i="1" s="1"/>
  <c r="J202" i="1" s="1"/>
  <c r="F201" i="1"/>
  <c r="G201" i="1" s="1"/>
  <c r="H201" i="1" s="1"/>
  <c r="I201" i="1" s="1"/>
  <c r="J201" i="1" s="1"/>
  <c r="F200" i="1"/>
  <c r="G200" i="1" s="1"/>
  <c r="H200" i="1" s="1"/>
  <c r="I200" i="1" s="1"/>
  <c r="J200" i="1" s="1"/>
  <c r="F199" i="1"/>
  <c r="G199" i="1" s="1"/>
  <c r="H199" i="1" s="1"/>
  <c r="I199" i="1" s="1"/>
  <c r="J199" i="1" s="1"/>
  <c r="F198" i="1"/>
  <c r="G198" i="1" s="1"/>
  <c r="H198" i="1" s="1"/>
  <c r="I198" i="1" s="1"/>
  <c r="J198" i="1" s="1"/>
  <c r="F197" i="1"/>
  <c r="G197" i="1" s="1"/>
  <c r="H197" i="1" s="1"/>
  <c r="I197" i="1" s="1"/>
  <c r="J197" i="1" s="1"/>
  <c r="F196" i="1"/>
  <c r="G196" i="1" s="1"/>
  <c r="H196" i="1" s="1"/>
  <c r="I196" i="1" s="1"/>
  <c r="J196" i="1" s="1"/>
  <c r="G195" i="1"/>
  <c r="H195" i="1" s="1"/>
  <c r="I195" i="1" s="1"/>
  <c r="J195" i="1" s="1"/>
  <c r="F194" i="1"/>
  <c r="G194" i="1" s="1"/>
  <c r="H194" i="1" s="1"/>
  <c r="I194" i="1" s="1"/>
  <c r="J194" i="1" s="1"/>
  <c r="G193" i="1"/>
  <c r="H193" i="1" s="1"/>
  <c r="I193" i="1" s="1"/>
  <c r="J193" i="1" s="1"/>
  <c r="F192" i="1"/>
  <c r="G192" i="1" s="1"/>
  <c r="H192" i="1" s="1"/>
  <c r="I192" i="1" s="1"/>
  <c r="J192" i="1" s="1"/>
  <c r="G191" i="1"/>
  <c r="H191" i="1" s="1"/>
  <c r="I191" i="1" s="1"/>
  <c r="J191" i="1" s="1"/>
  <c r="F190" i="1"/>
  <c r="G190" i="1" s="1"/>
  <c r="H190" i="1" s="1"/>
  <c r="I190" i="1" s="1"/>
  <c r="J190" i="1" s="1"/>
  <c r="F189" i="1"/>
  <c r="G189" i="1" s="1"/>
  <c r="H189" i="1" s="1"/>
  <c r="I189" i="1" s="1"/>
  <c r="J189" i="1" s="1"/>
  <c r="F188" i="1"/>
  <c r="G188" i="1" s="1"/>
  <c r="H188" i="1" s="1"/>
  <c r="I188" i="1" s="1"/>
  <c r="J188" i="1" s="1"/>
  <c r="F187" i="1"/>
  <c r="G187" i="1" s="1"/>
  <c r="H187" i="1" s="1"/>
  <c r="I187" i="1" s="1"/>
  <c r="J187" i="1" s="1"/>
  <c r="F186" i="1"/>
  <c r="G186" i="1" s="1"/>
  <c r="H186" i="1" s="1"/>
  <c r="I186" i="1" s="1"/>
  <c r="J186" i="1" s="1"/>
  <c r="F185" i="1"/>
  <c r="G185" i="1" s="1"/>
  <c r="H185" i="1" s="1"/>
  <c r="I185" i="1" s="1"/>
  <c r="J185" i="1" s="1"/>
  <c r="G184" i="1"/>
  <c r="H184" i="1" s="1"/>
  <c r="I184" i="1" s="1"/>
  <c r="J184" i="1" s="1"/>
  <c r="F183" i="1"/>
  <c r="G183" i="1" s="1"/>
  <c r="H183" i="1" s="1"/>
  <c r="I183" i="1" s="1"/>
  <c r="J183" i="1" s="1"/>
  <c r="F182" i="1"/>
  <c r="G182" i="1" s="1"/>
  <c r="H182" i="1" s="1"/>
  <c r="I182" i="1" s="1"/>
  <c r="J182" i="1" s="1"/>
  <c r="F181" i="1"/>
  <c r="G181" i="1" s="1"/>
  <c r="H181" i="1" s="1"/>
  <c r="I181" i="1" s="1"/>
  <c r="J181" i="1" s="1"/>
  <c r="F180" i="1"/>
  <c r="G180" i="1" s="1"/>
  <c r="H180" i="1" s="1"/>
  <c r="I180" i="1" s="1"/>
  <c r="J180" i="1" s="1"/>
  <c r="F179" i="1"/>
  <c r="G179" i="1" s="1"/>
  <c r="H179" i="1" s="1"/>
  <c r="I179" i="1" s="1"/>
  <c r="J179" i="1" s="1"/>
  <c r="F178" i="1"/>
  <c r="G178" i="1" s="1"/>
  <c r="H178" i="1" s="1"/>
  <c r="I178" i="1" s="1"/>
  <c r="J178" i="1" s="1"/>
  <c r="F177" i="1"/>
  <c r="G177" i="1" s="1"/>
  <c r="H177" i="1" s="1"/>
  <c r="I177" i="1" s="1"/>
  <c r="J177" i="1" s="1"/>
  <c r="F176" i="1"/>
  <c r="G176" i="1" s="1"/>
  <c r="H176" i="1" s="1"/>
  <c r="I176" i="1" s="1"/>
  <c r="J176" i="1" s="1"/>
  <c r="F175" i="1"/>
  <c r="G175" i="1" s="1"/>
  <c r="H175" i="1" s="1"/>
  <c r="I175" i="1" s="1"/>
  <c r="J175" i="1" s="1"/>
  <c r="G174" i="1"/>
  <c r="H174" i="1" s="1"/>
  <c r="I174" i="1" s="1"/>
  <c r="J174" i="1" s="1"/>
  <c r="F173" i="1"/>
  <c r="G173" i="1" s="1"/>
  <c r="H173" i="1" s="1"/>
  <c r="I173" i="1" s="1"/>
  <c r="J173" i="1" s="1"/>
  <c r="F172" i="1"/>
  <c r="G172" i="1" s="1"/>
  <c r="H172" i="1" s="1"/>
  <c r="I172" i="1" s="1"/>
  <c r="J172" i="1" s="1"/>
  <c r="F171" i="1"/>
  <c r="G171" i="1" s="1"/>
  <c r="H171" i="1" s="1"/>
  <c r="I171" i="1" s="1"/>
  <c r="J171" i="1" s="1"/>
  <c r="F170" i="1"/>
  <c r="G170" i="1" s="1"/>
  <c r="H170" i="1" s="1"/>
  <c r="I170" i="1" s="1"/>
  <c r="J170" i="1" s="1"/>
  <c r="F169" i="1"/>
  <c r="G169" i="1" s="1"/>
  <c r="H169" i="1" s="1"/>
  <c r="I169" i="1" s="1"/>
  <c r="J169" i="1" s="1"/>
  <c r="F168" i="1"/>
  <c r="G168" i="1" s="1"/>
  <c r="H168" i="1" s="1"/>
  <c r="I168" i="1" s="1"/>
  <c r="J168" i="1" s="1"/>
  <c r="F167" i="1"/>
  <c r="G167" i="1" s="1"/>
  <c r="H167" i="1" s="1"/>
  <c r="I167" i="1" s="1"/>
  <c r="J167" i="1" s="1"/>
  <c r="F166" i="1"/>
  <c r="G166" i="1" s="1"/>
  <c r="H166" i="1" s="1"/>
  <c r="I166" i="1" s="1"/>
  <c r="J166" i="1" s="1"/>
  <c r="G165" i="1"/>
  <c r="H165" i="1" s="1"/>
  <c r="I165" i="1" s="1"/>
  <c r="J165" i="1" s="1"/>
  <c r="F164" i="1"/>
  <c r="G164" i="1" s="1"/>
  <c r="H164" i="1" s="1"/>
  <c r="I164" i="1" s="1"/>
  <c r="J164" i="1" s="1"/>
  <c r="F163" i="1"/>
  <c r="G163" i="1" s="1"/>
  <c r="H163" i="1" s="1"/>
  <c r="I163" i="1" s="1"/>
  <c r="J163" i="1" s="1"/>
  <c r="F162" i="1"/>
  <c r="G162" i="1" s="1"/>
  <c r="H162" i="1" s="1"/>
  <c r="I162" i="1" s="1"/>
  <c r="J162" i="1" s="1"/>
  <c r="F161" i="1"/>
  <c r="G161" i="1" s="1"/>
  <c r="H161" i="1" s="1"/>
  <c r="I161" i="1" s="1"/>
  <c r="J161" i="1" s="1"/>
  <c r="F160" i="1"/>
  <c r="G160" i="1" s="1"/>
  <c r="H160" i="1" s="1"/>
  <c r="I160" i="1" s="1"/>
  <c r="J160" i="1" s="1"/>
  <c r="F159" i="1"/>
  <c r="G159" i="1" s="1"/>
  <c r="H159" i="1" s="1"/>
  <c r="I159" i="1" s="1"/>
  <c r="J159" i="1" s="1"/>
  <c r="F158" i="1"/>
  <c r="G158" i="1" s="1"/>
  <c r="H158" i="1" s="1"/>
  <c r="I158" i="1" s="1"/>
  <c r="J158" i="1" s="1"/>
  <c r="F157" i="1"/>
  <c r="G157" i="1" s="1"/>
  <c r="H157" i="1" s="1"/>
  <c r="I157" i="1" s="1"/>
  <c r="J157" i="1" s="1"/>
  <c r="F156" i="1"/>
  <c r="G156" i="1" s="1"/>
  <c r="H156" i="1" s="1"/>
  <c r="I156" i="1" s="1"/>
  <c r="J156" i="1" s="1"/>
  <c r="F155" i="1"/>
  <c r="G155" i="1" s="1"/>
  <c r="H155" i="1" s="1"/>
  <c r="I155" i="1" s="1"/>
  <c r="J155" i="1" s="1"/>
  <c r="F154" i="1"/>
  <c r="G154" i="1" s="1"/>
  <c r="H154" i="1" s="1"/>
  <c r="I154" i="1" s="1"/>
  <c r="J154" i="1" s="1"/>
  <c r="F153" i="1"/>
  <c r="G153" i="1" s="1"/>
  <c r="H153" i="1" s="1"/>
  <c r="I153" i="1" s="1"/>
  <c r="J153" i="1" s="1"/>
  <c r="F152" i="1"/>
  <c r="G152" i="1" s="1"/>
  <c r="H152" i="1" s="1"/>
  <c r="I152" i="1" s="1"/>
  <c r="J152" i="1" s="1"/>
  <c r="F151" i="1"/>
  <c r="G151" i="1" s="1"/>
  <c r="H151" i="1" s="1"/>
  <c r="I151" i="1" s="1"/>
  <c r="J151" i="1" s="1"/>
  <c r="F150" i="1"/>
  <c r="G150" i="1" s="1"/>
  <c r="H150" i="1" s="1"/>
  <c r="I150" i="1" s="1"/>
  <c r="J150" i="1" s="1"/>
  <c r="F149" i="1"/>
  <c r="G149" i="1" s="1"/>
  <c r="H149" i="1" s="1"/>
  <c r="I149" i="1" s="1"/>
  <c r="J149" i="1" s="1"/>
  <c r="F148" i="1"/>
  <c r="G148" i="1" s="1"/>
  <c r="H148" i="1" s="1"/>
  <c r="I148" i="1" s="1"/>
  <c r="J148" i="1" s="1"/>
  <c r="F147" i="1"/>
  <c r="G147" i="1" s="1"/>
  <c r="H147" i="1" s="1"/>
  <c r="I147" i="1" s="1"/>
  <c r="J147" i="1" s="1"/>
  <c r="G146" i="1"/>
  <c r="H146" i="1" s="1"/>
  <c r="I146" i="1" s="1"/>
  <c r="J146" i="1" s="1"/>
  <c r="F146" i="1"/>
  <c r="F145" i="1"/>
  <c r="G145" i="1" s="1"/>
  <c r="H145" i="1" s="1"/>
  <c r="I145" i="1" s="1"/>
  <c r="J145" i="1" s="1"/>
  <c r="F144" i="1"/>
  <c r="G144" i="1" s="1"/>
  <c r="H144" i="1" s="1"/>
  <c r="I144" i="1" s="1"/>
  <c r="J144" i="1" s="1"/>
  <c r="F143" i="1"/>
  <c r="G143" i="1" s="1"/>
  <c r="H143" i="1" s="1"/>
  <c r="I143" i="1" s="1"/>
  <c r="J143" i="1" s="1"/>
  <c r="F142" i="1"/>
  <c r="G142" i="1" s="1"/>
  <c r="H142" i="1" s="1"/>
  <c r="I142" i="1" s="1"/>
  <c r="J142" i="1" s="1"/>
  <c r="F141" i="1"/>
  <c r="G141" i="1" s="1"/>
  <c r="H141" i="1" s="1"/>
  <c r="I141" i="1" s="1"/>
  <c r="J141" i="1" s="1"/>
  <c r="G140" i="1"/>
  <c r="H140" i="1" s="1"/>
  <c r="I140" i="1" s="1"/>
  <c r="J140" i="1" s="1"/>
  <c r="F140" i="1"/>
  <c r="F139" i="1"/>
  <c r="G139" i="1" s="1"/>
  <c r="H139" i="1" s="1"/>
  <c r="I139" i="1" s="1"/>
  <c r="J139" i="1" s="1"/>
  <c r="F138" i="1"/>
  <c r="G138" i="1" s="1"/>
  <c r="H138" i="1" s="1"/>
  <c r="I138" i="1" s="1"/>
  <c r="J138" i="1" s="1"/>
  <c r="F137" i="1"/>
  <c r="G137" i="1" s="1"/>
  <c r="H137" i="1" s="1"/>
  <c r="I137" i="1" s="1"/>
  <c r="J137" i="1" s="1"/>
  <c r="F136" i="1"/>
  <c r="G136" i="1" s="1"/>
  <c r="H136" i="1" s="1"/>
  <c r="I136" i="1" s="1"/>
  <c r="J136" i="1" s="1"/>
  <c r="G135" i="1"/>
  <c r="H135" i="1" s="1"/>
  <c r="I135" i="1" s="1"/>
  <c r="J135" i="1" s="1"/>
  <c r="F134" i="1"/>
  <c r="G134" i="1" s="1"/>
  <c r="H134" i="1" s="1"/>
  <c r="I134" i="1" s="1"/>
  <c r="J134" i="1" s="1"/>
  <c r="F133" i="1"/>
  <c r="G133" i="1" s="1"/>
  <c r="H133" i="1" s="1"/>
  <c r="I133" i="1" s="1"/>
  <c r="J133" i="1" s="1"/>
  <c r="F132" i="1"/>
  <c r="G132" i="1" s="1"/>
  <c r="H132" i="1" s="1"/>
  <c r="I132" i="1" s="1"/>
  <c r="J132" i="1" s="1"/>
  <c r="F131" i="1"/>
  <c r="G131" i="1" s="1"/>
  <c r="H131" i="1" s="1"/>
  <c r="I131" i="1" s="1"/>
  <c r="J131" i="1" s="1"/>
  <c r="F130" i="1"/>
  <c r="G130" i="1" s="1"/>
  <c r="H130" i="1" s="1"/>
  <c r="I130" i="1" s="1"/>
  <c r="J130" i="1" s="1"/>
  <c r="F129" i="1"/>
  <c r="G129" i="1" s="1"/>
  <c r="H129" i="1" s="1"/>
  <c r="I129" i="1" s="1"/>
  <c r="J129" i="1" s="1"/>
  <c r="F128" i="1"/>
  <c r="G128" i="1" s="1"/>
  <c r="H128" i="1" s="1"/>
  <c r="I128" i="1" s="1"/>
  <c r="J128" i="1" s="1"/>
  <c r="F127" i="1"/>
  <c r="G127" i="1" s="1"/>
  <c r="H127" i="1" s="1"/>
  <c r="I127" i="1" s="1"/>
  <c r="J127" i="1" s="1"/>
  <c r="F126" i="1"/>
  <c r="G126" i="1" s="1"/>
  <c r="H126" i="1" s="1"/>
  <c r="I126" i="1" s="1"/>
  <c r="J126" i="1" s="1"/>
  <c r="F125" i="1"/>
  <c r="G125" i="1" s="1"/>
  <c r="H125" i="1" s="1"/>
  <c r="I125" i="1" s="1"/>
  <c r="J125" i="1" s="1"/>
  <c r="F124" i="1"/>
  <c r="G124" i="1" s="1"/>
  <c r="H124" i="1" s="1"/>
  <c r="I124" i="1" s="1"/>
  <c r="J124" i="1" s="1"/>
  <c r="F123" i="1"/>
  <c r="G123" i="1" s="1"/>
  <c r="H123" i="1" s="1"/>
  <c r="I123" i="1" s="1"/>
  <c r="J123" i="1" s="1"/>
  <c r="F122" i="1"/>
  <c r="G122" i="1" s="1"/>
  <c r="H122" i="1" s="1"/>
  <c r="I122" i="1" s="1"/>
  <c r="J122" i="1" s="1"/>
  <c r="F121" i="1"/>
  <c r="G121" i="1" s="1"/>
  <c r="H121" i="1" s="1"/>
  <c r="I121" i="1" s="1"/>
  <c r="J121" i="1" s="1"/>
  <c r="F120" i="1"/>
  <c r="G120" i="1" s="1"/>
  <c r="H120" i="1" s="1"/>
  <c r="I120" i="1" s="1"/>
  <c r="J120" i="1" s="1"/>
  <c r="F119" i="1"/>
  <c r="G119" i="1" s="1"/>
  <c r="H119" i="1" s="1"/>
  <c r="I119" i="1" s="1"/>
  <c r="J119" i="1" s="1"/>
  <c r="F118" i="1"/>
  <c r="G118" i="1" s="1"/>
  <c r="H118" i="1" s="1"/>
  <c r="I118" i="1" s="1"/>
  <c r="J118" i="1" s="1"/>
  <c r="F117" i="1"/>
  <c r="G117" i="1" s="1"/>
  <c r="H117" i="1" s="1"/>
  <c r="I117" i="1" s="1"/>
  <c r="J117" i="1" s="1"/>
  <c r="F116" i="1"/>
  <c r="G116" i="1" s="1"/>
  <c r="H116" i="1" s="1"/>
  <c r="I116" i="1" s="1"/>
  <c r="J116" i="1" s="1"/>
  <c r="F115" i="1"/>
  <c r="G115" i="1" s="1"/>
  <c r="H115" i="1" s="1"/>
  <c r="I115" i="1" s="1"/>
  <c r="J115" i="1" s="1"/>
  <c r="F114" i="1"/>
  <c r="G114" i="1" s="1"/>
  <c r="H114" i="1" s="1"/>
  <c r="I114" i="1" s="1"/>
  <c r="J114" i="1" s="1"/>
  <c r="F113" i="1"/>
  <c r="G113" i="1" s="1"/>
  <c r="H113" i="1" s="1"/>
  <c r="I113" i="1" s="1"/>
  <c r="J113" i="1" s="1"/>
  <c r="F112" i="1"/>
  <c r="G112" i="1" s="1"/>
  <c r="H112" i="1" s="1"/>
  <c r="I112" i="1" s="1"/>
  <c r="J112" i="1" s="1"/>
  <c r="F111" i="1"/>
  <c r="G111" i="1" s="1"/>
  <c r="H111" i="1" s="1"/>
  <c r="I111" i="1" s="1"/>
  <c r="J111" i="1" s="1"/>
  <c r="F110" i="1"/>
  <c r="G110" i="1" s="1"/>
  <c r="H110" i="1" s="1"/>
  <c r="I110" i="1" s="1"/>
  <c r="J110" i="1" s="1"/>
  <c r="F109" i="1"/>
  <c r="G109" i="1" s="1"/>
  <c r="H109" i="1" s="1"/>
  <c r="I109" i="1" s="1"/>
  <c r="J109" i="1" s="1"/>
  <c r="F108" i="1"/>
  <c r="G108" i="1" s="1"/>
  <c r="H108" i="1" s="1"/>
  <c r="I108" i="1" s="1"/>
  <c r="J108" i="1" s="1"/>
  <c r="G107" i="1"/>
  <c r="H107" i="1" s="1"/>
  <c r="I107" i="1" s="1"/>
  <c r="J107" i="1" s="1"/>
  <c r="G106" i="1"/>
  <c r="H106" i="1" s="1"/>
  <c r="I106" i="1" s="1"/>
  <c r="J106" i="1" s="1"/>
  <c r="F105" i="1"/>
  <c r="G105" i="1" s="1"/>
  <c r="H105" i="1" s="1"/>
  <c r="I105" i="1" s="1"/>
  <c r="J105" i="1" s="1"/>
  <c r="F104" i="1"/>
  <c r="G104" i="1" s="1"/>
  <c r="H104" i="1" s="1"/>
  <c r="I104" i="1" s="1"/>
  <c r="J104" i="1" s="1"/>
  <c r="F103" i="1"/>
  <c r="G103" i="1" s="1"/>
  <c r="H103" i="1" s="1"/>
  <c r="I103" i="1" s="1"/>
  <c r="J103" i="1" s="1"/>
  <c r="F102" i="1"/>
  <c r="G102" i="1" s="1"/>
  <c r="H102" i="1" s="1"/>
  <c r="I102" i="1" s="1"/>
  <c r="J102" i="1" s="1"/>
  <c r="F101" i="1"/>
  <c r="G101" i="1" s="1"/>
  <c r="H101" i="1" s="1"/>
  <c r="I101" i="1" s="1"/>
  <c r="J101" i="1" s="1"/>
  <c r="F100" i="1"/>
  <c r="G100" i="1" s="1"/>
  <c r="H100" i="1" s="1"/>
  <c r="I100" i="1" s="1"/>
  <c r="J100" i="1" s="1"/>
  <c r="F99" i="1"/>
  <c r="G99" i="1" s="1"/>
  <c r="H99" i="1" s="1"/>
  <c r="I99" i="1" s="1"/>
  <c r="J99" i="1" s="1"/>
  <c r="F98" i="1"/>
  <c r="G98" i="1" s="1"/>
  <c r="H98" i="1" s="1"/>
  <c r="I98" i="1" s="1"/>
  <c r="J98" i="1" s="1"/>
  <c r="F97" i="1"/>
  <c r="G97" i="1" s="1"/>
  <c r="H97" i="1" s="1"/>
  <c r="I97" i="1" s="1"/>
  <c r="J97" i="1" s="1"/>
  <c r="F96" i="1"/>
  <c r="G96" i="1" s="1"/>
  <c r="H96" i="1" s="1"/>
  <c r="I96" i="1" s="1"/>
  <c r="J96" i="1" s="1"/>
  <c r="F95" i="1"/>
  <c r="G95" i="1" s="1"/>
  <c r="H95" i="1" s="1"/>
  <c r="I95" i="1" s="1"/>
  <c r="J95" i="1" s="1"/>
  <c r="F94" i="1"/>
  <c r="G94" i="1" s="1"/>
  <c r="H94" i="1" s="1"/>
  <c r="I94" i="1" s="1"/>
  <c r="J94" i="1" s="1"/>
  <c r="F93" i="1"/>
  <c r="G93" i="1" s="1"/>
  <c r="H93" i="1" s="1"/>
  <c r="I93" i="1" s="1"/>
  <c r="J93" i="1" s="1"/>
  <c r="F92" i="1"/>
  <c r="G92" i="1" s="1"/>
  <c r="H92" i="1" s="1"/>
  <c r="I92" i="1" s="1"/>
  <c r="J92" i="1" s="1"/>
  <c r="F91" i="1"/>
  <c r="G91" i="1" s="1"/>
  <c r="H91" i="1" s="1"/>
  <c r="I91" i="1" s="1"/>
  <c r="J91" i="1" s="1"/>
  <c r="F90" i="1"/>
  <c r="G90" i="1" s="1"/>
  <c r="H90" i="1" s="1"/>
  <c r="I90" i="1" s="1"/>
  <c r="J90" i="1" s="1"/>
  <c r="F89" i="1"/>
  <c r="G89" i="1" s="1"/>
  <c r="H89" i="1" s="1"/>
  <c r="I89" i="1" s="1"/>
  <c r="J89" i="1" s="1"/>
  <c r="F88" i="1"/>
  <c r="G88" i="1" s="1"/>
  <c r="H88" i="1" s="1"/>
  <c r="I88" i="1" s="1"/>
  <c r="J88" i="1" s="1"/>
  <c r="F87" i="1"/>
  <c r="G87" i="1" s="1"/>
  <c r="H87" i="1" s="1"/>
  <c r="I87" i="1" s="1"/>
  <c r="J87" i="1" s="1"/>
  <c r="G86" i="1"/>
  <c r="H86" i="1" s="1"/>
  <c r="I86" i="1" s="1"/>
  <c r="J86" i="1" s="1"/>
  <c r="G85" i="1"/>
  <c r="H85" i="1" s="1"/>
  <c r="I85" i="1" s="1"/>
  <c r="J85" i="1" s="1"/>
  <c r="G84" i="1"/>
  <c r="H84" i="1" s="1"/>
  <c r="I84" i="1" s="1"/>
  <c r="J84" i="1" s="1"/>
  <c r="F83" i="1"/>
  <c r="G83" i="1" s="1"/>
  <c r="H83" i="1" s="1"/>
  <c r="I83" i="1" s="1"/>
  <c r="J83" i="1" s="1"/>
  <c r="G82" i="1"/>
  <c r="H82" i="1" s="1"/>
  <c r="I82" i="1" s="1"/>
  <c r="J82" i="1" s="1"/>
  <c r="G81" i="1"/>
  <c r="H81" i="1" s="1"/>
  <c r="I81" i="1" s="1"/>
  <c r="J81" i="1" s="1"/>
  <c r="F80" i="1"/>
  <c r="G80" i="1" s="1"/>
  <c r="H80" i="1" s="1"/>
  <c r="I80" i="1" s="1"/>
  <c r="J80" i="1" s="1"/>
  <c r="F79" i="1"/>
  <c r="G79" i="1" s="1"/>
  <c r="H79" i="1" s="1"/>
  <c r="I79" i="1" s="1"/>
  <c r="J79" i="1" s="1"/>
  <c r="G78" i="1"/>
  <c r="H78" i="1" s="1"/>
  <c r="I78" i="1" s="1"/>
  <c r="J78" i="1" s="1"/>
  <c r="F77" i="1"/>
  <c r="G77" i="1" s="1"/>
  <c r="H77" i="1" s="1"/>
  <c r="I77" i="1" s="1"/>
  <c r="J77" i="1" s="1"/>
  <c r="F76" i="1"/>
  <c r="G76" i="1" s="1"/>
  <c r="H76" i="1" s="1"/>
  <c r="I76" i="1" s="1"/>
  <c r="J76" i="1" s="1"/>
  <c r="F75" i="1"/>
  <c r="G75" i="1" s="1"/>
  <c r="H75" i="1" s="1"/>
  <c r="I75" i="1" s="1"/>
  <c r="J75" i="1" s="1"/>
  <c r="F74" i="1"/>
  <c r="G74" i="1" s="1"/>
  <c r="H74" i="1" s="1"/>
  <c r="I74" i="1" s="1"/>
  <c r="J74" i="1" s="1"/>
  <c r="F73" i="1"/>
  <c r="G73" i="1" s="1"/>
  <c r="H73" i="1" s="1"/>
  <c r="I73" i="1" s="1"/>
  <c r="J73" i="1" s="1"/>
  <c r="F72" i="1"/>
  <c r="G72" i="1" s="1"/>
  <c r="H72" i="1" s="1"/>
  <c r="I72" i="1" s="1"/>
  <c r="J72" i="1" s="1"/>
  <c r="G71" i="1"/>
  <c r="H71" i="1" s="1"/>
  <c r="I71" i="1" s="1"/>
  <c r="J71" i="1" s="1"/>
  <c r="F70" i="1"/>
  <c r="G70" i="1" s="1"/>
  <c r="H70" i="1" s="1"/>
  <c r="I70" i="1" s="1"/>
  <c r="J70" i="1" s="1"/>
  <c r="F69" i="1"/>
  <c r="G69" i="1" s="1"/>
  <c r="H69" i="1" s="1"/>
  <c r="I69" i="1" s="1"/>
  <c r="J69" i="1" s="1"/>
  <c r="F68" i="1"/>
  <c r="G68" i="1" s="1"/>
  <c r="H68" i="1" s="1"/>
  <c r="I68" i="1" s="1"/>
  <c r="J68" i="1" s="1"/>
  <c r="F67" i="1"/>
  <c r="G67" i="1" s="1"/>
  <c r="H67" i="1" s="1"/>
  <c r="I67" i="1" s="1"/>
  <c r="J67" i="1" s="1"/>
  <c r="F66" i="1"/>
  <c r="G66" i="1" s="1"/>
  <c r="H66" i="1" s="1"/>
  <c r="I66" i="1" s="1"/>
  <c r="J66" i="1" s="1"/>
  <c r="F65" i="1"/>
  <c r="G65" i="1" s="1"/>
  <c r="H65" i="1" s="1"/>
  <c r="I65" i="1" s="1"/>
  <c r="J65" i="1" s="1"/>
  <c r="F64" i="1"/>
  <c r="G64" i="1" s="1"/>
  <c r="H64" i="1" s="1"/>
  <c r="I64" i="1" s="1"/>
  <c r="J64" i="1" s="1"/>
  <c r="F63" i="1"/>
  <c r="G63" i="1" s="1"/>
  <c r="H63" i="1" s="1"/>
  <c r="I63" i="1" s="1"/>
  <c r="J63" i="1" s="1"/>
  <c r="F62" i="1"/>
  <c r="G62" i="1" s="1"/>
  <c r="H62" i="1" s="1"/>
  <c r="I62" i="1" s="1"/>
  <c r="J62" i="1" s="1"/>
  <c r="F61" i="1"/>
  <c r="G61" i="1" s="1"/>
  <c r="H61" i="1" s="1"/>
  <c r="I61" i="1" s="1"/>
  <c r="J61" i="1" s="1"/>
  <c r="F60" i="1"/>
  <c r="G60" i="1" s="1"/>
  <c r="H60" i="1" s="1"/>
  <c r="I60" i="1" s="1"/>
  <c r="J60" i="1" s="1"/>
  <c r="F59" i="1"/>
  <c r="G59" i="1" s="1"/>
  <c r="H59" i="1" s="1"/>
  <c r="I59" i="1" s="1"/>
  <c r="J59" i="1" s="1"/>
  <c r="F58" i="1"/>
  <c r="G58" i="1" s="1"/>
  <c r="H58" i="1" s="1"/>
  <c r="I58" i="1" s="1"/>
  <c r="J58" i="1" s="1"/>
  <c r="F57" i="1"/>
  <c r="G57" i="1" s="1"/>
  <c r="H57" i="1" s="1"/>
  <c r="I57" i="1" s="1"/>
  <c r="J57" i="1" s="1"/>
  <c r="F56" i="1"/>
  <c r="G56" i="1" s="1"/>
  <c r="H56" i="1" s="1"/>
  <c r="I56" i="1" s="1"/>
  <c r="J56" i="1" s="1"/>
  <c r="F55" i="1"/>
  <c r="G55" i="1" s="1"/>
  <c r="H55" i="1" s="1"/>
  <c r="I55" i="1" s="1"/>
  <c r="J55" i="1" s="1"/>
  <c r="F54" i="1"/>
  <c r="G54" i="1" s="1"/>
  <c r="H54" i="1" s="1"/>
  <c r="I54" i="1" s="1"/>
  <c r="J54" i="1" s="1"/>
  <c r="F53" i="1"/>
  <c r="G53" i="1" s="1"/>
  <c r="H53" i="1" s="1"/>
  <c r="I53" i="1" s="1"/>
  <c r="J53" i="1" s="1"/>
  <c r="F52" i="1"/>
  <c r="G52" i="1" s="1"/>
  <c r="H52" i="1" s="1"/>
  <c r="I52" i="1" s="1"/>
  <c r="J52" i="1" s="1"/>
  <c r="G51" i="1"/>
  <c r="H51" i="1" s="1"/>
  <c r="I51" i="1" s="1"/>
  <c r="J51" i="1" s="1"/>
  <c r="G50" i="1"/>
  <c r="H50" i="1" s="1"/>
  <c r="I50" i="1" s="1"/>
  <c r="J50" i="1" s="1"/>
  <c r="F49" i="1"/>
  <c r="G49" i="1" s="1"/>
  <c r="H49" i="1" s="1"/>
  <c r="I49" i="1" s="1"/>
  <c r="J49" i="1" s="1"/>
  <c r="G48" i="1"/>
  <c r="H48" i="1" s="1"/>
  <c r="I48" i="1" s="1"/>
  <c r="J48" i="1" s="1"/>
  <c r="F48" i="1"/>
  <c r="F47" i="1"/>
  <c r="G47" i="1" s="1"/>
  <c r="H47" i="1" s="1"/>
  <c r="I47" i="1" s="1"/>
  <c r="J47" i="1" s="1"/>
  <c r="G46" i="1"/>
  <c r="H46" i="1" s="1"/>
  <c r="I46" i="1" s="1"/>
  <c r="J46" i="1" s="1"/>
  <c r="G45" i="1"/>
  <c r="H45" i="1" s="1"/>
  <c r="I45" i="1" s="1"/>
  <c r="J45" i="1" s="1"/>
  <c r="F44" i="1"/>
  <c r="G44" i="1" s="1"/>
  <c r="H44" i="1" s="1"/>
  <c r="I44" i="1" s="1"/>
  <c r="J44" i="1" s="1"/>
  <c r="F43" i="1"/>
  <c r="G43" i="1" s="1"/>
  <c r="H43" i="1" s="1"/>
  <c r="I43" i="1" s="1"/>
  <c r="J43" i="1" s="1"/>
  <c r="F42" i="1"/>
  <c r="G42" i="1" s="1"/>
  <c r="H42" i="1" s="1"/>
  <c r="I42" i="1" s="1"/>
  <c r="J42" i="1" s="1"/>
  <c r="F41" i="1"/>
  <c r="G41" i="1" s="1"/>
  <c r="H41" i="1" s="1"/>
  <c r="I41" i="1" s="1"/>
  <c r="J41" i="1" s="1"/>
  <c r="G40" i="1"/>
  <c r="H40" i="1" s="1"/>
  <c r="I40" i="1" s="1"/>
  <c r="J40" i="1" s="1"/>
  <c r="F39" i="1"/>
  <c r="G39" i="1" s="1"/>
  <c r="H39" i="1" s="1"/>
  <c r="I39" i="1" s="1"/>
  <c r="J39" i="1" s="1"/>
  <c r="F38" i="1"/>
  <c r="G38" i="1" s="1"/>
  <c r="H38" i="1" s="1"/>
  <c r="I38" i="1" s="1"/>
  <c r="J38" i="1" s="1"/>
  <c r="F37" i="1"/>
  <c r="G37" i="1" s="1"/>
  <c r="H37" i="1" s="1"/>
  <c r="I37" i="1" s="1"/>
  <c r="J37" i="1" s="1"/>
  <c r="F36" i="1"/>
  <c r="G36" i="1" s="1"/>
  <c r="H36" i="1" s="1"/>
  <c r="I36" i="1" s="1"/>
  <c r="J36" i="1" s="1"/>
  <c r="F35" i="1"/>
  <c r="G35" i="1" s="1"/>
  <c r="H35" i="1" s="1"/>
  <c r="I35" i="1" s="1"/>
  <c r="J35" i="1" s="1"/>
  <c r="F34" i="1"/>
  <c r="G34" i="1" s="1"/>
  <c r="H34" i="1" s="1"/>
  <c r="I34" i="1" s="1"/>
  <c r="J34" i="1" s="1"/>
  <c r="F33" i="1"/>
  <c r="G33" i="1" s="1"/>
  <c r="H33" i="1" s="1"/>
  <c r="I33" i="1" s="1"/>
  <c r="J33" i="1" s="1"/>
  <c r="F32" i="1"/>
  <c r="G32" i="1" s="1"/>
  <c r="H32" i="1" s="1"/>
  <c r="I32" i="1" s="1"/>
  <c r="J32" i="1" s="1"/>
  <c r="G31" i="1"/>
  <c r="H31" i="1" s="1"/>
  <c r="I31" i="1" s="1"/>
  <c r="J31" i="1" s="1"/>
  <c r="F30" i="1"/>
  <c r="G30" i="1" s="1"/>
  <c r="H30" i="1" s="1"/>
  <c r="I30" i="1" s="1"/>
  <c r="J30" i="1" s="1"/>
  <c r="F29" i="1"/>
  <c r="G29" i="1" s="1"/>
  <c r="H29" i="1" s="1"/>
  <c r="I29" i="1" s="1"/>
  <c r="J29" i="1" s="1"/>
  <c r="F28" i="1"/>
  <c r="G28" i="1" s="1"/>
  <c r="H28" i="1" s="1"/>
  <c r="I28" i="1" s="1"/>
  <c r="J28" i="1" s="1"/>
  <c r="F27" i="1"/>
  <c r="G27" i="1" s="1"/>
  <c r="H27" i="1" s="1"/>
  <c r="I27" i="1" s="1"/>
  <c r="J27" i="1" s="1"/>
  <c r="F26" i="1"/>
  <c r="G26" i="1" s="1"/>
  <c r="H26" i="1" s="1"/>
  <c r="I26" i="1" s="1"/>
  <c r="J26" i="1" s="1"/>
  <c r="F25" i="1"/>
  <c r="G25" i="1" s="1"/>
  <c r="H25" i="1" s="1"/>
  <c r="I25" i="1" s="1"/>
  <c r="J25" i="1" s="1"/>
  <c r="G24" i="1"/>
  <c r="H24" i="1" s="1"/>
  <c r="I24" i="1" s="1"/>
  <c r="J24" i="1" s="1"/>
  <c r="G23" i="1"/>
  <c r="H23" i="1" s="1"/>
  <c r="I23" i="1" s="1"/>
  <c r="J23" i="1" s="1"/>
  <c r="G22" i="1"/>
  <c r="H22" i="1" s="1"/>
  <c r="I22" i="1" s="1"/>
  <c r="J22" i="1" s="1"/>
  <c r="F21" i="1"/>
  <c r="G21" i="1" s="1"/>
  <c r="H21" i="1" s="1"/>
  <c r="I21" i="1" s="1"/>
  <c r="J21" i="1" s="1"/>
  <c r="F20" i="1"/>
  <c r="G20" i="1" s="1"/>
  <c r="H20" i="1" s="1"/>
  <c r="I20" i="1" s="1"/>
  <c r="J20" i="1" s="1"/>
  <c r="G19" i="1"/>
  <c r="H19" i="1" s="1"/>
  <c r="I19" i="1" s="1"/>
  <c r="J19" i="1" s="1"/>
  <c r="G18" i="1"/>
  <c r="H18" i="1" s="1"/>
  <c r="I18" i="1" s="1"/>
  <c r="J18" i="1" s="1"/>
  <c r="F17" i="1"/>
  <c r="G17" i="1" s="1"/>
  <c r="H17" i="1" s="1"/>
  <c r="I17" i="1" s="1"/>
  <c r="J17" i="1" s="1"/>
  <c r="G16" i="1"/>
  <c r="H16" i="1" s="1"/>
  <c r="I16" i="1" s="1"/>
  <c r="J16" i="1" s="1"/>
  <c r="G15" i="1"/>
  <c r="H15" i="1" s="1"/>
  <c r="I15" i="1" s="1"/>
  <c r="J15" i="1" s="1"/>
  <c r="F14" i="1"/>
  <c r="G14" i="1" s="1"/>
  <c r="H14" i="1" s="1"/>
  <c r="I14" i="1" s="1"/>
  <c r="J14" i="1" s="1"/>
  <c r="F13" i="1"/>
  <c r="G13" i="1" s="1"/>
  <c r="H13" i="1" s="1"/>
  <c r="I13" i="1" s="1"/>
  <c r="J13" i="1" s="1"/>
  <c r="F12" i="1"/>
  <c r="G12" i="1" s="1"/>
  <c r="H12" i="1" s="1"/>
  <c r="I12" i="1" s="1"/>
  <c r="J12" i="1" s="1"/>
  <c r="F11" i="1"/>
  <c r="G11" i="1" s="1"/>
  <c r="H11" i="1" s="1"/>
  <c r="I11" i="1" s="1"/>
  <c r="J11" i="1" s="1"/>
  <c r="F10" i="1"/>
  <c r="G10" i="1" s="1"/>
  <c r="H10" i="1" s="1"/>
  <c r="I10" i="1" s="1"/>
  <c r="J10" i="1" s="1"/>
  <c r="F9" i="1"/>
  <c r="G9" i="1" s="1"/>
  <c r="H9" i="1" s="1"/>
  <c r="I9" i="1" s="1"/>
  <c r="J9" i="1" s="1"/>
  <c r="F8" i="1"/>
  <c r="G8" i="1" s="1"/>
  <c r="H8" i="1" s="1"/>
  <c r="I8" i="1" s="1"/>
  <c r="J8" i="1" s="1"/>
  <c r="G7" i="1"/>
  <c r="H7" i="1" s="1"/>
  <c r="I7" i="1" s="1"/>
  <c r="J7" i="1" s="1"/>
  <c r="G6" i="1"/>
  <c r="H6" i="1" s="1"/>
  <c r="I6" i="1" s="1"/>
  <c r="J6" i="1" s="1"/>
  <c r="F5" i="1"/>
  <c r="G5" i="1" s="1"/>
  <c r="H5" i="1" s="1"/>
  <c r="I5" i="1" s="1"/>
  <c r="J5" i="1" s="1"/>
  <c r="F4" i="1"/>
  <c r="G4" i="1" s="1"/>
  <c r="H4" i="1" s="1"/>
  <c r="I4" i="1" s="1"/>
  <c r="J4" i="1" s="1"/>
  <c r="F3" i="1"/>
  <c r="G3" i="1" s="1"/>
  <c r="H3" i="1" s="1"/>
  <c r="I3" i="1" s="1"/>
  <c r="J3" i="1" s="1"/>
  <c r="F2" i="1"/>
  <c r="G2" i="1" s="1"/>
  <c r="H2" i="1" s="1"/>
  <c r="I2" i="1" s="1"/>
  <c r="J2" i="1" s="1"/>
</calcChain>
</file>

<file path=xl/sharedStrings.xml><?xml version="1.0" encoding="utf-8"?>
<sst xmlns="http://schemas.openxmlformats.org/spreadsheetml/2006/main" count="835" uniqueCount="115">
  <si>
    <t>No</t>
  </si>
  <si>
    <t>Nama Jenis</t>
  </si>
  <si>
    <t>Nama Latin</t>
  </si>
  <si>
    <t>Diameter</t>
  </si>
  <si>
    <t>Tingkat</t>
  </si>
  <si>
    <t>Berat Jenis</t>
  </si>
  <si>
    <t>AGB (kg)</t>
  </si>
  <si>
    <t>AGB (Ton)</t>
  </si>
  <si>
    <t>Serapan Karbon (ton CO2e)</t>
  </si>
  <si>
    <t>Bengkirai</t>
  </si>
  <si>
    <t>Shorea laevis</t>
  </si>
  <si>
    <t>Tiang</t>
  </si>
  <si>
    <t>Pancang</t>
  </si>
  <si>
    <t>Meranti</t>
  </si>
  <si>
    <t>Shorea leprosula</t>
  </si>
  <si>
    <t>Bintangur</t>
  </si>
  <si>
    <t>Calophyllum inophyllum</t>
  </si>
  <si>
    <t>Pohon</t>
  </si>
  <si>
    <t>Tanjung</t>
  </si>
  <si>
    <t>Mimusops elengi</t>
  </si>
  <si>
    <t>Nyamplung</t>
  </si>
  <si>
    <t>Mahoni daun kecil</t>
  </si>
  <si>
    <t>Swietenia mahagoni</t>
  </si>
  <si>
    <t>Melinjo</t>
  </si>
  <si>
    <t>Gnetum gnemon</t>
  </si>
  <si>
    <t>Ulin</t>
  </si>
  <si>
    <t>Eusideroxylon zwageri</t>
  </si>
  <si>
    <t>Kapur</t>
  </si>
  <si>
    <t>Dryobalanops aromatica</t>
  </si>
  <si>
    <t>Durian</t>
  </si>
  <si>
    <t>Durio zibethinus</t>
  </si>
  <si>
    <t>Cemara laut</t>
  </si>
  <si>
    <t>Sandorisum koetjape</t>
  </si>
  <si>
    <t>Resak</t>
  </si>
  <si>
    <t>Vatica rassak</t>
  </si>
  <si>
    <t>Balangeran</t>
  </si>
  <si>
    <t>Shorea balangeran</t>
  </si>
  <si>
    <t>Manggis hutan</t>
  </si>
  <si>
    <t>Garcinia nervosa</t>
  </si>
  <si>
    <t>Meranti merah</t>
  </si>
  <si>
    <t>Beringin</t>
  </si>
  <si>
    <t>Ficus benjamina</t>
  </si>
  <si>
    <t>Ketapang kencana</t>
  </si>
  <si>
    <t>Terminalia mantaly</t>
  </si>
  <si>
    <t>Eboni</t>
  </si>
  <si>
    <t>Diospyros celebica</t>
  </si>
  <si>
    <t>Casuarina equisetifolia</t>
  </si>
  <si>
    <t>Sawo kecik</t>
  </si>
  <si>
    <t>Manilkara kauki</t>
  </si>
  <si>
    <t>Kenitu</t>
  </si>
  <si>
    <t>Manilkara cainito</t>
  </si>
  <si>
    <t>Pulai</t>
  </si>
  <si>
    <t>Alstonia scholaris</t>
  </si>
  <si>
    <t>Agathis</t>
  </si>
  <si>
    <t>Agathis borneensis</t>
  </si>
  <si>
    <t>Rambutan</t>
  </si>
  <si>
    <t>Nephelium lappaceum</t>
  </si>
  <si>
    <t>Mangga</t>
  </si>
  <si>
    <t>Mangifera indica</t>
  </si>
  <si>
    <t>Alpukat</t>
  </si>
  <si>
    <t>Persea americana</t>
  </si>
  <si>
    <t>Manggis</t>
  </si>
  <si>
    <t>Garcinia mangostana</t>
  </si>
  <si>
    <t>Jambu air</t>
  </si>
  <si>
    <t>Psidium aqueum</t>
  </si>
  <si>
    <t>Jambu biji</t>
  </si>
  <si>
    <t>Psidium guajava</t>
  </si>
  <si>
    <t>Jati</t>
  </si>
  <si>
    <t>Tectona grandis</t>
  </si>
  <si>
    <t>Nam-nam</t>
  </si>
  <si>
    <t>Cynometra cauliflora</t>
  </si>
  <si>
    <t>Ketapang</t>
  </si>
  <si>
    <t>Terminalia catappa</t>
  </si>
  <si>
    <t>Sungkai</t>
  </si>
  <si>
    <t>Peronema canescens</t>
  </si>
  <si>
    <t>Saga</t>
  </si>
  <si>
    <t>Abrus precatorius</t>
  </si>
  <si>
    <t>Mahoni</t>
  </si>
  <si>
    <t>Swietenia macrophylla</t>
  </si>
  <si>
    <t>Kuku</t>
  </si>
  <si>
    <t>Pericopsis mooniana</t>
  </si>
  <si>
    <t>Nangka</t>
  </si>
  <si>
    <t>Artocarpus heterophyllus</t>
  </si>
  <si>
    <t>Sawo</t>
  </si>
  <si>
    <t>Manilkara zapota</t>
  </si>
  <si>
    <t>Lamtoro</t>
  </si>
  <si>
    <t>Leucaena leucocephala</t>
  </si>
  <si>
    <t>Kecapi</t>
  </si>
  <si>
    <t>Matoa</t>
  </si>
  <si>
    <t>Pometia pinnata</t>
  </si>
  <si>
    <t>Sengon</t>
  </si>
  <si>
    <t>Falcataria moluccana</t>
  </si>
  <si>
    <t>Kelor</t>
  </si>
  <si>
    <t>Moringa oleifera</t>
  </si>
  <si>
    <t>Jambu bol</t>
  </si>
  <si>
    <t>Syzygium malaccense</t>
  </si>
  <si>
    <t>Jabon</t>
  </si>
  <si>
    <t xml:space="preserve">Neolamarckia cadamba  </t>
  </si>
  <si>
    <t>Kedaung</t>
  </si>
  <si>
    <t>Parkia roxburghii</t>
  </si>
  <si>
    <t>Gmelina</t>
  </si>
  <si>
    <t>Gmelina arborea</t>
  </si>
  <si>
    <t>Nyatoh</t>
  </si>
  <si>
    <t>Palaquium rostratum</t>
  </si>
  <si>
    <t>Klengkeng</t>
  </si>
  <si>
    <t>Dimocarpus longan</t>
  </si>
  <si>
    <t>Nangkadak</t>
  </si>
  <si>
    <t>Salam</t>
  </si>
  <si>
    <t>Syzygium polyanthum</t>
  </si>
  <si>
    <t>Gaharu</t>
  </si>
  <si>
    <t>Aquilaria malaccensis</t>
  </si>
  <si>
    <t>Agathis loranthifolia</t>
  </si>
  <si>
    <t>Kepuh</t>
  </si>
  <si>
    <t>Sterculia foetida</t>
  </si>
  <si>
    <t>Cadangan Karbon (Ton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</si>
</sst>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unda\kuliah\Metodelogi%20Penelitian%20Lingkungan\data%20tesis\Pohon-Arboretum%203.xlsx" TargetMode="External"/><Relationship Id="rId1" Type="http://schemas.openxmlformats.org/officeDocument/2006/relationships/externalLinkPath" Target="kuliah/Metodelogi%20Penelitian%20Lingkungan/data%20tesis/Pohon-Arboretum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4"/>
      <sheetName val="Pohon-Arboretum"/>
      <sheetName val="arbo"/>
      <sheetName val="rekap arbo"/>
      <sheetName val="grafik"/>
      <sheetName val="Sheet3"/>
      <sheetName val="luar arbo"/>
      <sheetName val="luar"/>
      <sheetName val="rekap luar"/>
      <sheetName val="asli"/>
      <sheetName val="bj"/>
      <sheetName val="rekap all"/>
      <sheetName val="Sheet10"/>
      <sheetName val="all"/>
    </sheetNames>
    <sheetDataSet>
      <sheetData sheetId="0">
        <row r="1">
          <cell r="A1" t="str">
            <v>Nama Jenis</v>
          </cell>
          <cell r="B1" t="str">
            <v>BJ</v>
          </cell>
        </row>
        <row r="2">
          <cell r="A2" t="str">
            <v>Falcataria moluccana</v>
          </cell>
          <cell r="B2">
            <v>0.3</v>
          </cell>
        </row>
        <row r="3">
          <cell r="A3" t="str">
            <v>Duabanga moluccana</v>
          </cell>
          <cell r="B3">
            <v>0.32</v>
          </cell>
        </row>
        <row r="4">
          <cell r="A4" t="str">
            <v>Macaranga gigantea</v>
          </cell>
          <cell r="B4">
            <v>0.32</v>
          </cell>
        </row>
        <row r="5">
          <cell r="A5" t="str">
            <v>Macaranga sp.</v>
          </cell>
          <cell r="B5">
            <v>0.32</v>
          </cell>
        </row>
        <row r="6">
          <cell r="A6" t="str">
            <v>Campnosperma auriculata</v>
          </cell>
          <cell r="B6">
            <v>0.32700000000000001</v>
          </cell>
        </row>
        <row r="7">
          <cell r="A7" t="str">
            <v>Prunus javanica</v>
          </cell>
          <cell r="B7">
            <v>0.34499999999999997</v>
          </cell>
        </row>
        <row r="8">
          <cell r="A8" t="str">
            <v>Macaranga triloba</v>
          </cell>
          <cell r="B8">
            <v>0.3533</v>
          </cell>
        </row>
        <row r="9">
          <cell r="A9" t="str">
            <v xml:space="preserve">Archidendron bubalinum </v>
          </cell>
          <cell r="B9">
            <v>0.38</v>
          </cell>
        </row>
        <row r="10">
          <cell r="A10" t="str">
            <v>Dillenia suffruticosa</v>
          </cell>
          <cell r="B10">
            <v>0.38</v>
          </cell>
        </row>
        <row r="11">
          <cell r="A11" t="str">
            <v>Alstonia scholaris</v>
          </cell>
          <cell r="B11">
            <v>0.39729999999999999</v>
          </cell>
        </row>
        <row r="12">
          <cell r="A12" t="str">
            <v>Litsea firma</v>
          </cell>
          <cell r="B12">
            <v>0.41099999999999998</v>
          </cell>
        </row>
        <row r="13">
          <cell r="A13" t="str">
            <v>Litsea sp.</v>
          </cell>
          <cell r="B13">
            <v>0.41099999999999998</v>
          </cell>
        </row>
        <row r="14">
          <cell r="A14" t="str">
            <v>Cratoxylum arborescens</v>
          </cell>
          <cell r="B14">
            <v>0.47</v>
          </cell>
        </row>
        <row r="15">
          <cell r="A15" t="str">
            <v>Artocarpus elasticus</v>
          </cell>
          <cell r="B15">
            <v>0.47799999999999998</v>
          </cell>
        </row>
        <row r="16">
          <cell r="A16" t="str">
            <v>Agathis borneensis</v>
          </cell>
          <cell r="B16">
            <v>0.48</v>
          </cell>
        </row>
        <row r="17">
          <cell r="A17" t="str">
            <v>Hevea brasiliensis</v>
          </cell>
          <cell r="B17">
            <v>0.48720000000000002</v>
          </cell>
        </row>
        <row r="18">
          <cell r="A18" t="str">
            <v>Sterculia foetida</v>
          </cell>
          <cell r="B18">
            <v>0.495</v>
          </cell>
        </row>
        <row r="19">
          <cell r="A19" t="str">
            <v>Mangifera indica</v>
          </cell>
          <cell r="B19">
            <v>0.5</v>
          </cell>
        </row>
        <row r="20">
          <cell r="A20" t="str">
            <v>Pertusadina eurhyncha</v>
          </cell>
          <cell r="B20">
            <v>0.5</v>
          </cell>
        </row>
        <row r="21">
          <cell r="A21" t="str">
            <v>Shorea smithiana</v>
          </cell>
          <cell r="B21">
            <v>0.5</v>
          </cell>
        </row>
        <row r="22">
          <cell r="A22" t="str">
            <v>Vernonea arborea</v>
          </cell>
          <cell r="B22">
            <v>0.5</v>
          </cell>
        </row>
        <row r="23">
          <cell r="A23" t="str">
            <v>Vernonia arborea</v>
          </cell>
          <cell r="B23">
            <v>0.5</v>
          </cell>
        </row>
        <row r="24">
          <cell r="A24" t="str">
            <v>Pentace laxiflora</v>
          </cell>
          <cell r="B24">
            <v>0.52</v>
          </cell>
        </row>
        <row r="25">
          <cell r="A25" t="str">
            <v>Acacia mangium</v>
          </cell>
          <cell r="B25">
            <v>0.53</v>
          </cell>
        </row>
        <row r="26">
          <cell r="A26" t="str">
            <v>Artocarpus heterophyllus</v>
          </cell>
          <cell r="B26">
            <v>0.54</v>
          </cell>
        </row>
        <row r="27">
          <cell r="A27" t="str">
            <v>Canarium sp.</v>
          </cell>
          <cell r="B27">
            <v>0.54500000000000004</v>
          </cell>
        </row>
        <row r="28">
          <cell r="A28" t="str">
            <v>Dacryodes rostrata</v>
          </cell>
          <cell r="B28">
            <v>0.55000000000000004</v>
          </cell>
        </row>
        <row r="29">
          <cell r="A29" t="str">
            <v>Leucaena glauca</v>
          </cell>
          <cell r="B29">
            <v>0.55000000000000004</v>
          </cell>
        </row>
        <row r="30">
          <cell r="A30" t="str">
            <v>Artocarpus rigidus</v>
          </cell>
          <cell r="B30">
            <v>0.56000000000000005</v>
          </cell>
        </row>
        <row r="31">
          <cell r="A31" t="str">
            <v>Artocarpus sp.</v>
          </cell>
          <cell r="B31">
            <v>0.56000000000000005</v>
          </cell>
        </row>
        <row r="32">
          <cell r="A32" t="str">
            <v>Peronema canescens</v>
          </cell>
          <cell r="B32">
            <v>0.58799999999999997</v>
          </cell>
        </row>
        <row r="33">
          <cell r="A33" t="str">
            <v>Balangeran</v>
          </cell>
          <cell r="B33">
            <v>0.59</v>
          </cell>
        </row>
        <row r="34">
          <cell r="A34" t="str">
            <v>Pternandra rostrata</v>
          </cell>
          <cell r="B34">
            <v>0.59</v>
          </cell>
        </row>
        <row r="35">
          <cell r="A35" t="str">
            <v>Shorea johorensis</v>
          </cell>
          <cell r="B35">
            <v>0.59</v>
          </cell>
        </row>
        <row r="36">
          <cell r="A36" t="str">
            <v>Shorea laevis</v>
          </cell>
          <cell r="B36">
            <v>0.59</v>
          </cell>
        </row>
        <row r="37">
          <cell r="A37" t="str">
            <v>Shorea lamellata</v>
          </cell>
          <cell r="B37">
            <v>0.59</v>
          </cell>
        </row>
        <row r="38">
          <cell r="A38" t="str">
            <v>Shorea leprosula</v>
          </cell>
          <cell r="B38">
            <v>0.59</v>
          </cell>
        </row>
        <row r="39">
          <cell r="A39" t="str">
            <v>Shorea ovalis</v>
          </cell>
          <cell r="B39">
            <v>0.59</v>
          </cell>
        </row>
        <row r="40">
          <cell r="A40" t="str">
            <v>Shorea parvifolia</v>
          </cell>
          <cell r="B40">
            <v>0.59</v>
          </cell>
        </row>
        <row r="41">
          <cell r="A41" t="str">
            <v>Shorea balangeran</v>
          </cell>
          <cell r="B41">
            <v>0.59</v>
          </cell>
        </row>
        <row r="42">
          <cell r="A42" t="str">
            <v>Shorea parvistipulata</v>
          </cell>
          <cell r="B42">
            <v>0.59</v>
          </cell>
        </row>
        <row r="43">
          <cell r="A43" t="str">
            <v>Garcinia parvifolia</v>
          </cell>
          <cell r="B43">
            <v>0.59199999999999997</v>
          </cell>
        </row>
        <row r="44">
          <cell r="A44" t="str">
            <v>Artocarpus lanceifolius</v>
          </cell>
          <cell r="B44">
            <v>0.6</v>
          </cell>
        </row>
        <row r="45">
          <cell r="A45" t="str">
            <v>Gmelina arborea</v>
          </cell>
          <cell r="B45">
            <v>0.6</v>
          </cell>
        </row>
        <row r="46">
          <cell r="A46" t="str">
            <v>Dillenia reticulata</v>
          </cell>
          <cell r="B46">
            <v>0.61</v>
          </cell>
        </row>
        <row r="47">
          <cell r="A47" t="str">
            <v>Acacia mangium</v>
          </cell>
          <cell r="B47">
            <v>0.62</v>
          </cell>
        </row>
        <row r="48">
          <cell r="A48" t="str">
            <v>Dryobalanops oblongifolia</v>
          </cell>
          <cell r="B48">
            <v>0.62</v>
          </cell>
        </row>
        <row r="49">
          <cell r="A49" t="str">
            <v>Swietenia macrophylla</v>
          </cell>
          <cell r="B49">
            <v>0.64</v>
          </cell>
        </row>
        <row r="50">
          <cell r="A50" t="str">
            <v>Leucaena leucocephala</v>
          </cell>
          <cell r="B50">
            <v>0.64</v>
          </cell>
        </row>
        <row r="51">
          <cell r="A51" t="str">
            <v>Pometia pinnata</v>
          </cell>
          <cell r="B51">
            <v>0.65300000000000002</v>
          </cell>
        </row>
        <row r="52">
          <cell r="A52" t="str">
            <v>Triomma malaccensis</v>
          </cell>
          <cell r="B52">
            <v>0.7</v>
          </cell>
        </row>
        <row r="53">
          <cell r="A53" t="str">
            <v>Syzygium sp.</v>
          </cell>
          <cell r="B53">
            <v>0.748</v>
          </cell>
        </row>
        <row r="54">
          <cell r="A54" t="str">
            <v>Vitex pinnata</v>
          </cell>
          <cell r="B54">
            <v>0.79700000000000004</v>
          </cell>
        </row>
        <row r="55">
          <cell r="A55" t="str">
            <v>Persea americana</v>
          </cell>
          <cell r="B55">
            <v>0.81</v>
          </cell>
        </row>
        <row r="56">
          <cell r="A56" t="str">
            <v>Koompassia malaccensis</v>
          </cell>
          <cell r="B56">
            <v>0.90249999999999997</v>
          </cell>
        </row>
        <row r="57">
          <cell r="A57" t="str">
            <v>Aquilaria malaccensis</v>
          </cell>
          <cell r="B57">
            <v>0.92</v>
          </cell>
        </row>
        <row r="58">
          <cell r="A58" t="str">
            <v>Mimusops elengi</v>
          </cell>
          <cell r="B58">
            <v>0.92</v>
          </cell>
        </row>
        <row r="59">
          <cell r="A59" t="str">
            <v>Diospyros celebica</v>
          </cell>
          <cell r="B59">
            <v>0.97</v>
          </cell>
        </row>
        <row r="60">
          <cell r="A60" t="str">
            <v>Durio zibethinus</v>
          </cell>
          <cell r="B60">
            <v>0.56000000000000005</v>
          </cell>
        </row>
        <row r="61">
          <cell r="A61" t="str">
            <v>Psidium guajava</v>
          </cell>
          <cell r="B61">
            <v>0.9</v>
          </cell>
        </row>
        <row r="62">
          <cell r="A62" t="str">
            <v>Psidium aqueum</v>
          </cell>
          <cell r="B62">
            <v>0.4</v>
          </cell>
        </row>
        <row r="63">
          <cell r="A63" t="str">
            <v>Nephelium lappaceum</v>
          </cell>
          <cell r="B63">
            <v>0.9</v>
          </cell>
        </row>
        <row r="64">
          <cell r="A64" t="str">
            <v>Garcinia mangostana</v>
          </cell>
          <cell r="B64">
            <v>0.9</v>
          </cell>
        </row>
        <row r="65">
          <cell r="A65" t="str">
            <v>Ficus benjamina</v>
          </cell>
          <cell r="B65">
            <v>0.45</v>
          </cell>
        </row>
        <row r="66">
          <cell r="A66" t="str">
            <v>Tectona grandis</v>
          </cell>
          <cell r="B66">
            <v>0.75</v>
          </cell>
        </row>
        <row r="67">
          <cell r="A67" t="str">
            <v>Abrus precatorius</v>
          </cell>
          <cell r="B67">
            <v>0.7</v>
          </cell>
        </row>
        <row r="68">
          <cell r="A68" t="str">
            <v>Pericopsis mooniana</v>
          </cell>
          <cell r="B68">
            <v>0.87</v>
          </cell>
        </row>
        <row r="69">
          <cell r="A69" t="str">
            <v>Manilkara zapota</v>
          </cell>
          <cell r="B69">
            <v>0.79</v>
          </cell>
        </row>
        <row r="70">
          <cell r="A70" t="str">
            <v xml:space="preserve">Neolamarckia cadamba  </v>
          </cell>
          <cell r="B70">
            <v>0.37</v>
          </cell>
        </row>
        <row r="71">
          <cell r="A71" t="str">
            <v>Dryobalanops aromatica</v>
          </cell>
          <cell r="B71">
            <v>0.63</v>
          </cell>
        </row>
        <row r="72">
          <cell r="A72" t="str">
            <v>Dimocarpus longan</v>
          </cell>
          <cell r="B72">
            <v>0.7</v>
          </cell>
        </row>
        <row r="73">
          <cell r="A73" t="str">
            <v>Eusideroxylon zwageri</v>
          </cell>
          <cell r="B73">
            <v>1.04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41AD-3DF0-4B2B-9895-31F929C2DAB9}">
  <dimension ref="A1:J276"/>
  <sheetViews>
    <sheetView tabSelected="1" workbookViewId="0">
      <selection activeCell="I2" sqref="I2"/>
    </sheetView>
  </sheetViews>
  <sheetFormatPr defaultRowHeight="14.5" x14ac:dyDescent="0.35"/>
  <cols>
    <col min="1" max="1" width="8.7265625" style="4"/>
    <col min="2" max="2" width="17" customWidth="1"/>
    <col min="3" max="3" width="21.26953125" bestFit="1" customWidth="1"/>
    <col min="5" max="5" width="23.90625" bestFit="1" customWidth="1"/>
    <col min="8" max="8" width="14.26953125" customWidth="1"/>
    <col min="9" max="9" width="15.54296875" customWidth="1"/>
    <col min="10" max="10" width="14.179687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114</v>
      </c>
      <c r="J1" s="3" t="s">
        <v>8</v>
      </c>
    </row>
    <row r="2" spans="1:10" x14ac:dyDescent="0.35">
      <c r="A2" s="4">
        <v>1</v>
      </c>
      <c r="B2" t="s">
        <v>9</v>
      </c>
      <c r="C2" t="s">
        <v>10</v>
      </c>
      <c r="D2">
        <v>11</v>
      </c>
      <c r="E2" t="s">
        <v>11</v>
      </c>
      <c r="F2">
        <f>VLOOKUP(C2,[1]Sheet2!$A$1:$B$73,2,FALSE)</f>
        <v>0.59</v>
      </c>
      <c r="G2" s="5">
        <f t="shared" ref="G2:G65" si="0">0.11*F2*(D2^2.62)</f>
        <v>34.729100251253058</v>
      </c>
      <c r="H2" s="5">
        <f>G2/1000</f>
        <v>3.4729100251253059E-2</v>
      </c>
      <c r="I2" s="6">
        <f>H2*0.47</f>
        <v>1.6322677118088935E-2</v>
      </c>
      <c r="J2" s="6">
        <f>I2*(44/12)</f>
        <v>5.9849816099659427E-2</v>
      </c>
    </row>
    <row r="3" spans="1:10" x14ac:dyDescent="0.35">
      <c r="A3" s="4">
        <v>2</v>
      </c>
      <c r="B3" t="s">
        <v>9</v>
      </c>
      <c r="C3" t="s">
        <v>10</v>
      </c>
      <c r="D3">
        <v>7</v>
      </c>
      <c r="E3" t="s">
        <v>12</v>
      </c>
      <c r="F3">
        <f>VLOOKUP(C3,[1]Sheet2!$A$1:$B$73,2,FALSE)</f>
        <v>0.59</v>
      </c>
      <c r="G3" s="5">
        <f t="shared" si="0"/>
        <v>10.626776865759943</v>
      </c>
      <c r="H3" s="5">
        <f t="shared" ref="H3:H66" si="1">G3/1000</f>
        <v>1.0626776865759944E-2</v>
      </c>
      <c r="I3" s="6">
        <f t="shared" ref="I3:I66" si="2">H3*0.47</f>
        <v>4.9945851269071733E-3</v>
      </c>
      <c r="J3" s="6">
        <f t="shared" ref="J3:J66" si="3">I3*(44/12)</f>
        <v>1.8313478798659636E-2</v>
      </c>
    </row>
    <row r="4" spans="1:10" x14ac:dyDescent="0.35">
      <c r="A4" s="4">
        <v>3</v>
      </c>
      <c r="B4" t="s">
        <v>13</v>
      </c>
      <c r="C4" t="s">
        <v>14</v>
      </c>
      <c r="D4">
        <v>11</v>
      </c>
      <c r="E4" t="s">
        <v>11</v>
      </c>
      <c r="F4">
        <f>VLOOKUP(C4,[1]Sheet2!$A$1:$B$73,2,FALSE)</f>
        <v>0.59</v>
      </c>
      <c r="G4" s="5">
        <f t="shared" si="0"/>
        <v>34.729100251253058</v>
      </c>
      <c r="H4" s="5">
        <f t="shared" si="1"/>
        <v>3.4729100251253059E-2</v>
      </c>
      <c r="I4" s="6">
        <f t="shared" si="2"/>
        <v>1.6322677118088935E-2</v>
      </c>
      <c r="J4" s="6">
        <f t="shared" si="3"/>
        <v>5.9849816099659427E-2</v>
      </c>
    </row>
    <row r="5" spans="1:10" x14ac:dyDescent="0.35">
      <c r="A5" s="4">
        <v>4</v>
      </c>
      <c r="B5" t="s">
        <v>13</v>
      </c>
      <c r="C5" t="s">
        <v>14</v>
      </c>
      <c r="D5">
        <v>13</v>
      </c>
      <c r="E5" t="s">
        <v>11</v>
      </c>
      <c r="F5">
        <f>VLOOKUP(C5,[1]Sheet2!$A$1:$B$73,2,FALSE)</f>
        <v>0.59</v>
      </c>
      <c r="G5" s="5">
        <f t="shared" si="0"/>
        <v>53.799257248212662</v>
      </c>
      <c r="H5" s="5">
        <f t="shared" si="1"/>
        <v>5.3799257248212662E-2</v>
      </c>
      <c r="I5" s="6">
        <f t="shared" si="2"/>
        <v>2.5285650906659948E-2</v>
      </c>
      <c r="J5" s="6">
        <f t="shared" si="3"/>
        <v>9.2714053324419801E-2</v>
      </c>
    </row>
    <row r="6" spans="1:10" x14ac:dyDescent="0.35">
      <c r="A6" s="4">
        <v>5</v>
      </c>
      <c r="B6" t="s">
        <v>15</v>
      </c>
      <c r="C6" t="s">
        <v>16</v>
      </c>
      <c r="D6">
        <v>30</v>
      </c>
      <c r="E6" t="s">
        <v>17</v>
      </c>
      <c r="F6">
        <v>0.65</v>
      </c>
      <c r="G6" s="5">
        <f t="shared" si="0"/>
        <v>530.10723203342354</v>
      </c>
      <c r="H6" s="5">
        <f t="shared" si="1"/>
        <v>0.53010723203342358</v>
      </c>
      <c r="I6" s="6">
        <f t="shared" si="2"/>
        <v>0.24915039905570907</v>
      </c>
      <c r="J6" s="6">
        <f t="shared" si="3"/>
        <v>0.91355146320426661</v>
      </c>
    </row>
    <row r="7" spans="1:10" x14ac:dyDescent="0.35">
      <c r="A7" s="4">
        <v>6</v>
      </c>
      <c r="B7" t="s">
        <v>15</v>
      </c>
      <c r="C7" t="s">
        <v>16</v>
      </c>
      <c r="D7">
        <v>15</v>
      </c>
      <c r="E7" t="s">
        <v>11</v>
      </c>
      <c r="F7">
        <v>0.65</v>
      </c>
      <c r="G7" s="5">
        <f t="shared" si="0"/>
        <v>86.231341114695297</v>
      </c>
      <c r="H7" s="5">
        <f t="shared" si="1"/>
        <v>8.6231341114695298E-2</v>
      </c>
      <c r="I7" s="6">
        <f t="shared" si="2"/>
        <v>4.0528730323906789E-2</v>
      </c>
      <c r="J7" s="6">
        <f t="shared" si="3"/>
        <v>0.14860534452099156</v>
      </c>
    </row>
    <row r="8" spans="1:10" x14ac:dyDescent="0.35">
      <c r="A8" s="4">
        <v>7</v>
      </c>
      <c r="B8" t="s">
        <v>13</v>
      </c>
      <c r="C8" t="s">
        <v>14</v>
      </c>
      <c r="D8">
        <v>20</v>
      </c>
      <c r="E8" t="s">
        <v>11</v>
      </c>
      <c r="F8">
        <f>VLOOKUP(C8,[1]Sheet2!$A$1:$B$73,2,FALSE)</f>
        <v>0.59</v>
      </c>
      <c r="G8" s="5">
        <f t="shared" si="0"/>
        <v>166.31954393282456</v>
      </c>
      <c r="H8" s="5">
        <f t="shared" si="1"/>
        <v>0.16631954393282455</v>
      </c>
      <c r="I8" s="6">
        <f t="shared" si="2"/>
        <v>7.8170185648427537E-2</v>
      </c>
      <c r="J8" s="6">
        <f t="shared" si="3"/>
        <v>0.28662401404423427</v>
      </c>
    </row>
    <row r="9" spans="1:10" x14ac:dyDescent="0.35">
      <c r="A9" s="4">
        <v>8</v>
      </c>
      <c r="B9" t="s">
        <v>13</v>
      </c>
      <c r="C9" t="s">
        <v>14</v>
      </c>
      <c r="D9">
        <v>13</v>
      </c>
      <c r="E9" t="s">
        <v>11</v>
      </c>
      <c r="F9">
        <f>VLOOKUP(C9,[1]Sheet2!$A$1:$B$73,2,FALSE)</f>
        <v>0.59</v>
      </c>
      <c r="G9" s="5">
        <f t="shared" si="0"/>
        <v>53.799257248212662</v>
      </c>
      <c r="H9" s="5">
        <f t="shared" si="1"/>
        <v>5.3799257248212662E-2</v>
      </c>
      <c r="I9" s="6">
        <f t="shared" si="2"/>
        <v>2.5285650906659948E-2</v>
      </c>
      <c r="J9" s="6">
        <f t="shared" si="3"/>
        <v>9.2714053324419801E-2</v>
      </c>
    </row>
    <row r="10" spans="1:10" x14ac:dyDescent="0.35">
      <c r="A10" s="4">
        <v>9</v>
      </c>
      <c r="B10" t="s">
        <v>18</v>
      </c>
      <c r="C10" t="s">
        <v>19</v>
      </c>
      <c r="D10">
        <v>14</v>
      </c>
      <c r="E10" t="s">
        <v>11</v>
      </c>
      <c r="F10">
        <f>VLOOKUP(C10,[1]Sheet2!$A$1:$B$73,2,FALSE)</f>
        <v>0.92</v>
      </c>
      <c r="G10" s="5">
        <f t="shared" si="0"/>
        <v>101.86757459190711</v>
      </c>
      <c r="H10" s="5">
        <f t="shared" si="1"/>
        <v>0.10186757459190711</v>
      </c>
      <c r="I10" s="6">
        <f t="shared" si="2"/>
        <v>4.7877760058196342E-2</v>
      </c>
      <c r="J10" s="6">
        <f t="shared" si="3"/>
        <v>0.17555178688005324</v>
      </c>
    </row>
    <row r="11" spans="1:10" x14ac:dyDescent="0.35">
      <c r="A11" s="4">
        <v>10</v>
      </c>
      <c r="B11" t="s">
        <v>13</v>
      </c>
      <c r="C11" t="s">
        <v>14</v>
      </c>
      <c r="D11">
        <v>26</v>
      </c>
      <c r="E11" t="s">
        <v>17</v>
      </c>
      <c r="F11">
        <f>VLOOKUP(C11,[1]Sheet2!$A$1:$B$73,2,FALSE)</f>
        <v>0.59</v>
      </c>
      <c r="G11" s="5">
        <f t="shared" si="0"/>
        <v>330.73097294602888</v>
      </c>
      <c r="H11" s="5">
        <f t="shared" si="1"/>
        <v>0.33073097294602888</v>
      </c>
      <c r="I11" s="6">
        <f t="shared" si="2"/>
        <v>0.15544355728463358</v>
      </c>
      <c r="J11" s="6">
        <f t="shared" si="3"/>
        <v>0.56995971004365642</v>
      </c>
    </row>
    <row r="12" spans="1:10" x14ac:dyDescent="0.35">
      <c r="A12" s="4">
        <v>11</v>
      </c>
      <c r="B12" t="s">
        <v>18</v>
      </c>
      <c r="C12" t="s">
        <v>19</v>
      </c>
      <c r="D12">
        <v>8</v>
      </c>
      <c r="E12" t="s">
        <v>12</v>
      </c>
      <c r="F12">
        <f>VLOOKUP(C12,[1]Sheet2!$A$1:$B$73,2,FALSE)</f>
        <v>0.92</v>
      </c>
      <c r="G12" s="5">
        <f t="shared" si="0"/>
        <v>23.511280260632741</v>
      </c>
      <c r="H12" s="5">
        <f t="shared" si="1"/>
        <v>2.351128026063274E-2</v>
      </c>
      <c r="I12" s="6">
        <f t="shared" si="2"/>
        <v>1.1050301722497387E-2</v>
      </c>
      <c r="J12" s="6">
        <f t="shared" si="3"/>
        <v>4.0517772982490416E-2</v>
      </c>
    </row>
    <row r="13" spans="1:10" x14ac:dyDescent="0.35">
      <c r="A13" s="4">
        <v>12</v>
      </c>
      <c r="B13" t="s">
        <v>18</v>
      </c>
      <c r="C13" t="s">
        <v>19</v>
      </c>
      <c r="D13">
        <v>14</v>
      </c>
      <c r="E13" t="s">
        <v>11</v>
      </c>
      <c r="F13">
        <f>VLOOKUP(C13,[1]Sheet2!$A$1:$B$73,2,FALSE)</f>
        <v>0.92</v>
      </c>
      <c r="G13" s="5">
        <f t="shared" si="0"/>
        <v>101.86757459190711</v>
      </c>
      <c r="H13" s="5">
        <f t="shared" si="1"/>
        <v>0.10186757459190711</v>
      </c>
      <c r="I13" s="6">
        <f t="shared" si="2"/>
        <v>4.7877760058196342E-2</v>
      </c>
      <c r="J13" s="6">
        <f t="shared" si="3"/>
        <v>0.17555178688005324</v>
      </c>
    </row>
    <row r="14" spans="1:10" x14ac:dyDescent="0.35">
      <c r="A14" s="4">
        <v>13</v>
      </c>
      <c r="B14" t="s">
        <v>18</v>
      </c>
      <c r="C14" t="s">
        <v>19</v>
      </c>
      <c r="D14">
        <v>9</v>
      </c>
      <c r="E14" t="s">
        <v>12</v>
      </c>
      <c r="F14">
        <f>VLOOKUP(C14,[1]Sheet2!$A$1:$B$73,2,FALSE)</f>
        <v>0.92</v>
      </c>
      <c r="G14" s="5">
        <f t="shared" si="0"/>
        <v>32.010752772347622</v>
      </c>
      <c r="H14" s="5">
        <f t="shared" si="1"/>
        <v>3.201075277234762E-2</v>
      </c>
      <c r="I14" s="6">
        <f t="shared" si="2"/>
        <v>1.504505380300338E-2</v>
      </c>
      <c r="J14" s="6">
        <f t="shared" si="3"/>
        <v>5.5165197277679059E-2</v>
      </c>
    </row>
    <row r="15" spans="1:10" x14ac:dyDescent="0.35">
      <c r="A15" s="4">
        <v>14</v>
      </c>
      <c r="B15" s="7" t="s">
        <v>20</v>
      </c>
      <c r="C15" s="7" t="s">
        <v>16</v>
      </c>
      <c r="D15">
        <v>65</v>
      </c>
      <c r="E15" t="s">
        <v>17</v>
      </c>
      <c r="F15">
        <v>0.65</v>
      </c>
      <c r="G15" s="5">
        <f t="shared" si="0"/>
        <v>4019.1946183372788</v>
      </c>
      <c r="H15" s="5">
        <f t="shared" si="1"/>
        <v>4.0191946183372789</v>
      </c>
      <c r="I15" s="6">
        <f t="shared" si="2"/>
        <v>1.8890214706185209</v>
      </c>
      <c r="J15" s="6">
        <f t="shared" si="3"/>
        <v>6.9264120589345763</v>
      </c>
    </row>
    <row r="16" spans="1:10" x14ac:dyDescent="0.35">
      <c r="A16" s="4">
        <v>15</v>
      </c>
      <c r="B16" s="7" t="s">
        <v>21</v>
      </c>
      <c r="C16" s="7" t="s">
        <v>22</v>
      </c>
      <c r="D16">
        <v>60</v>
      </c>
      <c r="E16" t="s">
        <v>17</v>
      </c>
      <c r="F16">
        <v>0.56000000000000005</v>
      </c>
      <c r="G16" s="5">
        <f t="shared" si="0"/>
        <v>2807.6113419491317</v>
      </c>
      <c r="H16" s="5">
        <f t="shared" si="1"/>
        <v>2.8076113419491318</v>
      </c>
      <c r="I16" s="6">
        <f t="shared" si="2"/>
        <v>1.3195773307160918</v>
      </c>
      <c r="J16" s="6">
        <f t="shared" si="3"/>
        <v>4.8384502126256699</v>
      </c>
    </row>
    <row r="17" spans="1:10" x14ac:dyDescent="0.35">
      <c r="A17" s="4">
        <v>16</v>
      </c>
      <c r="B17" t="s">
        <v>13</v>
      </c>
      <c r="C17" t="s">
        <v>14</v>
      </c>
      <c r="D17">
        <v>66</v>
      </c>
      <c r="E17" t="s">
        <v>17</v>
      </c>
      <c r="F17">
        <f>VLOOKUP(C17,[1]Sheet2!$A$1:$B$73,2,FALSE)</f>
        <v>0.59</v>
      </c>
      <c r="G17" s="5">
        <f t="shared" si="0"/>
        <v>3797.080529928432</v>
      </c>
      <c r="H17" s="5">
        <f t="shared" si="1"/>
        <v>3.797080529928432</v>
      </c>
      <c r="I17" s="6">
        <f t="shared" si="2"/>
        <v>1.784627849066363</v>
      </c>
      <c r="J17" s="6">
        <f t="shared" si="3"/>
        <v>6.5436354465766637</v>
      </c>
    </row>
    <row r="18" spans="1:10" x14ac:dyDescent="0.35">
      <c r="A18" s="4">
        <v>17</v>
      </c>
      <c r="B18" s="7" t="s">
        <v>23</v>
      </c>
      <c r="C18" s="7" t="s">
        <v>24</v>
      </c>
      <c r="D18">
        <v>32</v>
      </c>
      <c r="E18" t="s">
        <v>17</v>
      </c>
      <c r="F18">
        <v>0.76</v>
      </c>
      <c r="G18" s="5">
        <f t="shared" si="0"/>
        <v>734.00534194613556</v>
      </c>
      <c r="H18" s="5">
        <f t="shared" si="1"/>
        <v>0.73400534194613554</v>
      </c>
      <c r="I18" s="6">
        <f t="shared" si="2"/>
        <v>0.34498251071468367</v>
      </c>
      <c r="J18" s="6">
        <f t="shared" si="3"/>
        <v>1.2649358726205067</v>
      </c>
    </row>
    <row r="19" spans="1:10" x14ac:dyDescent="0.35">
      <c r="A19" s="4">
        <v>18</v>
      </c>
      <c r="B19" s="7" t="s">
        <v>23</v>
      </c>
      <c r="C19" s="7" t="s">
        <v>24</v>
      </c>
      <c r="D19">
        <v>27</v>
      </c>
      <c r="E19" t="s">
        <v>17</v>
      </c>
      <c r="F19">
        <v>0.76</v>
      </c>
      <c r="G19" s="5">
        <f t="shared" si="0"/>
        <v>470.30472234779944</v>
      </c>
      <c r="H19" s="5">
        <f t="shared" si="1"/>
        <v>0.47030472234779946</v>
      </c>
      <c r="I19" s="6">
        <f t="shared" si="2"/>
        <v>0.22104321950346573</v>
      </c>
      <c r="J19" s="6">
        <f t="shared" si="3"/>
        <v>0.810491804846041</v>
      </c>
    </row>
    <row r="20" spans="1:10" x14ac:dyDescent="0.35">
      <c r="A20" s="4">
        <v>19</v>
      </c>
      <c r="B20" s="7" t="s">
        <v>25</v>
      </c>
      <c r="C20" s="7" t="s">
        <v>26</v>
      </c>
      <c r="D20">
        <v>71</v>
      </c>
      <c r="E20" t="s">
        <v>17</v>
      </c>
      <c r="F20">
        <f>VLOOKUP(C20,[1]Sheet2!$A$1:$B$73,2,FALSE)</f>
        <v>1.04</v>
      </c>
      <c r="G20" s="5">
        <f t="shared" si="0"/>
        <v>8104.4378862119665</v>
      </c>
      <c r="H20" s="5">
        <f t="shared" si="1"/>
        <v>8.1044378862119668</v>
      </c>
      <c r="I20" s="6">
        <f t="shared" si="2"/>
        <v>3.809085806519624</v>
      </c>
      <c r="J20" s="6">
        <f t="shared" si="3"/>
        <v>13.966647957238621</v>
      </c>
    </row>
    <row r="21" spans="1:10" x14ac:dyDescent="0.35">
      <c r="A21" s="4">
        <v>20</v>
      </c>
      <c r="B21" t="s">
        <v>9</v>
      </c>
      <c r="C21" t="s">
        <v>10</v>
      </c>
      <c r="D21">
        <v>77</v>
      </c>
      <c r="E21" t="s">
        <v>17</v>
      </c>
      <c r="F21">
        <f>VLOOKUP(C21,[1]Sheet2!$A$1:$B$73,2,FALSE)</f>
        <v>0.59</v>
      </c>
      <c r="G21" s="5">
        <f t="shared" si="0"/>
        <v>5686.570094278487</v>
      </c>
      <c r="H21" s="5">
        <f t="shared" si="1"/>
        <v>5.6865700942784869</v>
      </c>
      <c r="I21" s="6">
        <f t="shared" si="2"/>
        <v>2.6726879443108889</v>
      </c>
      <c r="J21" s="6">
        <f t="shared" si="3"/>
        <v>9.7998557958065913</v>
      </c>
    </row>
    <row r="22" spans="1:10" x14ac:dyDescent="0.35">
      <c r="A22" s="4">
        <v>21</v>
      </c>
      <c r="B22" s="7" t="s">
        <v>27</v>
      </c>
      <c r="C22" s="7" t="s">
        <v>28</v>
      </c>
      <c r="D22">
        <v>38</v>
      </c>
      <c r="E22" t="s">
        <v>17</v>
      </c>
      <c r="F22">
        <v>0.65</v>
      </c>
      <c r="G22" s="5">
        <f t="shared" si="0"/>
        <v>984.77964865917374</v>
      </c>
      <c r="H22" s="5">
        <f t="shared" si="1"/>
        <v>0.98477964865917378</v>
      </c>
      <c r="I22" s="6">
        <f t="shared" si="2"/>
        <v>0.46284643486981164</v>
      </c>
      <c r="J22" s="6">
        <f t="shared" si="3"/>
        <v>1.6971035945226427</v>
      </c>
    </row>
    <row r="23" spans="1:10" x14ac:dyDescent="0.35">
      <c r="A23" s="4">
        <v>22</v>
      </c>
      <c r="B23" s="7" t="s">
        <v>27</v>
      </c>
      <c r="C23" s="7" t="s">
        <v>28</v>
      </c>
      <c r="D23">
        <v>37</v>
      </c>
      <c r="E23" t="s">
        <v>17</v>
      </c>
      <c r="F23">
        <v>0.65</v>
      </c>
      <c r="G23" s="5">
        <f t="shared" si="0"/>
        <v>918.32109104603524</v>
      </c>
      <c r="H23" s="5">
        <f t="shared" si="1"/>
        <v>0.91832109104603521</v>
      </c>
      <c r="I23" s="6">
        <f t="shared" si="2"/>
        <v>0.43161091279163655</v>
      </c>
      <c r="J23" s="6">
        <f t="shared" si="3"/>
        <v>1.5825733469026673</v>
      </c>
    </row>
    <row r="24" spans="1:10" x14ac:dyDescent="0.35">
      <c r="A24" s="4">
        <v>23</v>
      </c>
      <c r="B24" s="7" t="s">
        <v>27</v>
      </c>
      <c r="C24" s="7" t="s">
        <v>28</v>
      </c>
      <c r="D24">
        <v>16</v>
      </c>
      <c r="E24" t="s">
        <v>11</v>
      </c>
      <c r="F24">
        <v>0.65</v>
      </c>
      <c r="G24" s="5">
        <f t="shared" si="0"/>
        <v>102.11755227551134</v>
      </c>
      <c r="H24" s="5">
        <f t="shared" si="1"/>
        <v>0.10211755227551135</v>
      </c>
      <c r="I24" s="6">
        <f t="shared" si="2"/>
        <v>4.7995249569490334E-2</v>
      </c>
      <c r="J24" s="6">
        <f t="shared" si="3"/>
        <v>0.17598258175479789</v>
      </c>
    </row>
    <row r="25" spans="1:10" x14ac:dyDescent="0.35">
      <c r="A25" s="4">
        <v>24</v>
      </c>
      <c r="B25" t="s">
        <v>13</v>
      </c>
      <c r="C25" t="s">
        <v>14</v>
      </c>
      <c r="D25">
        <v>21</v>
      </c>
      <c r="E25" t="s">
        <v>17</v>
      </c>
      <c r="F25">
        <f>VLOOKUP(C25,[1]Sheet2!$A$1:$B$73,2,FALSE)</f>
        <v>0.59</v>
      </c>
      <c r="G25" s="5">
        <f t="shared" si="0"/>
        <v>188.99888802245786</v>
      </c>
      <c r="H25" s="5">
        <f t="shared" si="1"/>
        <v>0.18899888802245787</v>
      </c>
      <c r="I25" s="6">
        <f t="shared" si="2"/>
        <v>8.8829477370555202E-2</v>
      </c>
      <c r="J25" s="6">
        <f t="shared" si="3"/>
        <v>0.32570808369203574</v>
      </c>
    </row>
    <row r="26" spans="1:10" x14ac:dyDescent="0.35">
      <c r="A26" s="4">
        <v>25</v>
      </c>
      <c r="B26" t="s">
        <v>13</v>
      </c>
      <c r="C26" t="s">
        <v>14</v>
      </c>
      <c r="D26">
        <v>15</v>
      </c>
      <c r="E26" t="s">
        <v>11</v>
      </c>
      <c r="F26">
        <f>VLOOKUP(C26,[1]Sheet2!$A$1:$B$73,2,FALSE)</f>
        <v>0.59</v>
      </c>
      <c r="G26" s="5">
        <f t="shared" si="0"/>
        <v>78.271525011800335</v>
      </c>
      <c r="H26" s="5">
        <f t="shared" si="1"/>
        <v>7.8271525011800333E-2</v>
      </c>
      <c r="I26" s="6">
        <f t="shared" si="2"/>
        <v>3.6787616755546156E-2</v>
      </c>
      <c r="J26" s="6">
        <f t="shared" si="3"/>
        <v>0.13488792810366923</v>
      </c>
    </row>
    <row r="27" spans="1:10" x14ac:dyDescent="0.35">
      <c r="A27" s="4">
        <v>26</v>
      </c>
      <c r="B27" t="s">
        <v>29</v>
      </c>
      <c r="C27" t="s">
        <v>30</v>
      </c>
      <c r="D27">
        <v>21</v>
      </c>
      <c r="E27" t="s">
        <v>17</v>
      </c>
      <c r="F27">
        <f>VLOOKUP(C27,[1]Sheet2!$A$1:$B$73,2,FALSE)</f>
        <v>0.56000000000000005</v>
      </c>
      <c r="G27" s="5">
        <f t="shared" si="0"/>
        <v>179.38877507216341</v>
      </c>
      <c r="H27" s="5">
        <f t="shared" si="1"/>
        <v>0.17938877507216341</v>
      </c>
      <c r="I27" s="6">
        <f t="shared" si="2"/>
        <v>8.4312724283916798E-2</v>
      </c>
      <c r="J27" s="6">
        <f t="shared" si="3"/>
        <v>0.3091466557076949</v>
      </c>
    </row>
    <row r="28" spans="1:10" x14ac:dyDescent="0.35">
      <c r="A28" s="4">
        <v>27</v>
      </c>
      <c r="B28" t="s">
        <v>13</v>
      </c>
      <c r="C28" t="s">
        <v>14</v>
      </c>
      <c r="D28">
        <v>21</v>
      </c>
      <c r="E28" t="s">
        <v>17</v>
      </c>
      <c r="F28">
        <f>VLOOKUP(C28,[1]Sheet2!$A$1:$B$73,2,FALSE)</f>
        <v>0.59</v>
      </c>
      <c r="G28" s="5">
        <f t="shared" si="0"/>
        <v>188.99888802245786</v>
      </c>
      <c r="H28" s="5">
        <f t="shared" si="1"/>
        <v>0.18899888802245787</v>
      </c>
      <c r="I28" s="6">
        <f t="shared" si="2"/>
        <v>8.8829477370555202E-2</v>
      </c>
      <c r="J28" s="6">
        <f t="shared" si="3"/>
        <v>0.32570808369203574</v>
      </c>
    </row>
    <row r="29" spans="1:10" x14ac:dyDescent="0.35">
      <c r="A29" s="4">
        <v>28</v>
      </c>
      <c r="B29" t="s">
        <v>29</v>
      </c>
      <c r="C29" t="s">
        <v>30</v>
      </c>
      <c r="D29">
        <v>21</v>
      </c>
      <c r="E29" t="s">
        <v>17</v>
      </c>
      <c r="F29">
        <f>VLOOKUP(C29,[1]Sheet2!$A$1:$B$73,2,FALSE)</f>
        <v>0.56000000000000005</v>
      </c>
      <c r="G29" s="5">
        <f t="shared" si="0"/>
        <v>179.38877507216341</v>
      </c>
      <c r="H29" s="5">
        <f t="shared" si="1"/>
        <v>0.17938877507216341</v>
      </c>
      <c r="I29" s="6">
        <f t="shared" si="2"/>
        <v>8.4312724283916798E-2</v>
      </c>
      <c r="J29" s="6">
        <f t="shared" si="3"/>
        <v>0.3091466557076949</v>
      </c>
    </row>
    <row r="30" spans="1:10" x14ac:dyDescent="0.35">
      <c r="A30" s="4">
        <v>29</v>
      </c>
      <c r="B30" t="s">
        <v>13</v>
      </c>
      <c r="C30" t="s">
        <v>14</v>
      </c>
      <c r="D30">
        <v>6</v>
      </c>
      <c r="E30" t="s">
        <v>12</v>
      </c>
      <c r="F30">
        <f>VLOOKUP(C30,[1]Sheet2!$A$1:$B$73,2,FALSE)</f>
        <v>0.59</v>
      </c>
      <c r="G30" s="5">
        <f t="shared" si="0"/>
        <v>7.0957935739629248</v>
      </c>
      <c r="H30" s="5">
        <f t="shared" si="1"/>
        <v>7.0957935739629245E-3</v>
      </c>
      <c r="I30" s="6">
        <f t="shared" si="2"/>
        <v>3.3350229797625744E-3</v>
      </c>
      <c r="J30" s="6">
        <f t="shared" si="3"/>
        <v>1.2228417592462772E-2</v>
      </c>
    </row>
    <row r="31" spans="1:10" x14ac:dyDescent="0.35">
      <c r="A31" s="4">
        <v>30</v>
      </c>
      <c r="B31" t="s">
        <v>27</v>
      </c>
      <c r="C31" t="s">
        <v>28</v>
      </c>
      <c r="D31">
        <v>23</v>
      </c>
      <c r="E31" t="s">
        <v>17</v>
      </c>
      <c r="F31">
        <v>0.65</v>
      </c>
      <c r="G31" s="5">
        <f t="shared" si="0"/>
        <v>264.26093798358323</v>
      </c>
      <c r="H31" s="5">
        <f t="shared" si="1"/>
        <v>0.26426093798358324</v>
      </c>
      <c r="I31" s="6">
        <f t="shared" si="2"/>
        <v>0.12420264085228412</v>
      </c>
      <c r="J31" s="6">
        <f t="shared" si="3"/>
        <v>0.45540968312504176</v>
      </c>
    </row>
    <row r="32" spans="1:10" x14ac:dyDescent="0.35">
      <c r="A32" s="4">
        <v>31</v>
      </c>
      <c r="B32" t="s">
        <v>13</v>
      </c>
      <c r="C32" t="s">
        <v>14</v>
      </c>
      <c r="D32">
        <v>24</v>
      </c>
      <c r="E32" t="s">
        <v>17</v>
      </c>
      <c r="F32">
        <f>VLOOKUP(C32,[1]Sheet2!$A$1:$B$73,2,FALSE)</f>
        <v>0.59</v>
      </c>
      <c r="G32" s="5">
        <f t="shared" si="0"/>
        <v>268.16256441180951</v>
      </c>
      <c r="H32" s="5">
        <f t="shared" si="1"/>
        <v>0.26816256441180952</v>
      </c>
      <c r="I32" s="6">
        <f t="shared" si="2"/>
        <v>0.12603640527355048</v>
      </c>
      <c r="J32" s="6">
        <f t="shared" si="3"/>
        <v>0.4621334860030184</v>
      </c>
    </row>
    <row r="33" spans="1:10" x14ac:dyDescent="0.35">
      <c r="A33" s="4">
        <v>32</v>
      </c>
      <c r="B33" t="s">
        <v>29</v>
      </c>
      <c r="C33" t="s">
        <v>30</v>
      </c>
      <c r="D33">
        <v>8</v>
      </c>
      <c r="E33" t="s">
        <v>12</v>
      </c>
      <c r="F33">
        <f>VLOOKUP(C33,[1]Sheet2!$A$1:$B$73,2,FALSE)</f>
        <v>0.56000000000000005</v>
      </c>
      <c r="G33" s="5">
        <f t="shared" si="0"/>
        <v>14.311214071689497</v>
      </c>
      <c r="H33" s="5">
        <f t="shared" si="1"/>
        <v>1.4311214071689497E-2</v>
      </c>
      <c r="I33" s="6">
        <f t="shared" si="2"/>
        <v>6.7262706136940629E-3</v>
      </c>
      <c r="J33" s="6">
        <f t="shared" si="3"/>
        <v>2.4662992250211561E-2</v>
      </c>
    </row>
    <row r="34" spans="1:10" x14ac:dyDescent="0.35">
      <c r="A34" s="4">
        <v>33</v>
      </c>
      <c r="B34" t="s">
        <v>13</v>
      </c>
      <c r="C34" t="s">
        <v>14</v>
      </c>
      <c r="D34">
        <v>20</v>
      </c>
      <c r="E34" t="s">
        <v>11</v>
      </c>
      <c r="F34">
        <f>VLOOKUP(C34,[1]Sheet2!$A$1:$B$73,2,FALSE)</f>
        <v>0.59</v>
      </c>
      <c r="G34" s="5">
        <f t="shared" si="0"/>
        <v>166.31954393282456</v>
      </c>
      <c r="H34" s="5">
        <f t="shared" si="1"/>
        <v>0.16631954393282455</v>
      </c>
      <c r="I34" s="6">
        <f t="shared" si="2"/>
        <v>7.8170185648427537E-2</v>
      </c>
      <c r="J34" s="6">
        <f t="shared" si="3"/>
        <v>0.28662401404423427</v>
      </c>
    </row>
    <row r="35" spans="1:10" x14ac:dyDescent="0.35">
      <c r="A35" s="4">
        <v>34</v>
      </c>
      <c r="B35" t="s">
        <v>13</v>
      </c>
      <c r="C35" t="s">
        <v>14</v>
      </c>
      <c r="D35">
        <v>8</v>
      </c>
      <c r="E35" t="s">
        <v>12</v>
      </c>
      <c r="F35">
        <f>VLOOKUP(C35,[1]Sheet2!$A$1:$B$73,2,FALSE)</f>
        <v>0.59</v>
      </c>
      <c r="G35" s="5">
        <f t="shared" si="0"/>
        <v>15.077886254101433</v>
      </c>
      <c r="H35" s="5">
        <f t="shared" si="1"/>
        <v>1.5077886254101433E-2</v>
      </c>
      <c r="I35" s="6">
        <f t="shared" si="2"/>
        <v>7.0866065394276732E-3</v>
      </c>
      <c r="J35" s="6">
        <f t="shared" si="3"/>
        <v>2.5984223977901469E-2</v>
      </c>
    </row>
    <row r="36" spans="1:10" x14ac:dyDescent="0.35">
      <c r="A36" s="4">
        <v>35</v>
      </c>
      <c r="B36" t="s">
        <v>13</v>
      </c>
      <c r="C36" t="s">
        <v>14</v>
      </c>
      <c r="D36">
        <v>21</v>
      </c>
      <c r="E36" t="s">
        <v>17</v>
      </c>
      <c r="F36">
        <f>VLOOKUP(C36,[1]Sheet2!$A$1:$B$73,2,FALSE)</f>
        <v>0.59</v>
      </c>
      <c r="G36" s="5">
        <f t="shared" si="0"/>
        <v>188.99888802245786</v>
      </c>
      <c r="H36" s="5">
        <f t="shared" si="1"/>
        <v>0.18899888802245787</v>
      </c>
      <c r="I36" s="6">
        <f t="shared" si="2"/>
        <v>8.8829477370555202E-2</v>
      </c>
      <c r="J36" s="6">
        <f t="shared" si="3"/>
        <v>0.32570808369203574</v>
      </c>
    </row>
    <row r="37" spans="1:10" x14ac:dyDescent="0.35">
      <c r="A37" s="4">
        <v>36</v>
      </c>
      <c r="B37" t="s">
        <v>13</v>
      </c>
      <c r="C37" t="s">
        <v>14</v>
      </c>
      <c r="D37">
        <v>52</v>
      </c>
      <c r="E37" t="s">
        <v>17</v>
      </c>
      <c r="F37">
        <f>VLOOKUP(C37,[1]Sheet2!$A$1:$B$73,2,FALSE)</f>
        <v>0.59</v>
      </c>
      <c r="G37" s="5">
        <f t="shared" si="0"/>
        <v>2033.1688960159572</v>
      </c>
      <c r="H37" s="5">
        <f t="shared" si="1"/>
        <v>2.0331688960159573</v>
      </c>
      <c r="I37" s="6">
        <f t="shared" si="2"/>
        <v>0.95558938112749992</v>
      </c>
      <c r="J37" s="6">
        <f t="shared" si="3"/>
        <v>3.503827730800833</v>
      </c>
    </row>
    <row r="38" spans="1:10" x14ac:dyDescent="0.35">
      <c r="A38" s="4">
        <v>37</v>
      </c>
      <c r="B38" t="s">
        <v>13</v>
      </c>
      <c r="C38" t="s">
        <v>14</v>
      </c>
      <c r="D38">
        <v>22</v>
      </c>
      <c r="E38" t="s">
        <v>17</v>
      </c>
      <c r="F38">
        <f>VLOOKUP(C38,[1]Sheet2!$A$1:$B$73,2,FALSE)</f>
        <v>0.59</v>
      </c>
      <c r="G38" s="5">
        <f t="shared" si="0"/>
        <v>213.49716897845656</v>
      </c>
      <c r="H38" s="5">
        <f t="shared" si="1"/>
        <v>0.21349716897845655</v>
      </c>
      <c r="I38" s="6">
        <f t="shared" si="2"/>
        <v>0.10034366941987458</v>
      </c>
      <c r="J38" s="6">
        <f t="shared" si="3"/>
        <v>0.36792678787287342</v>
      </c>
    </row>
    <row r="39" spans="1:10" x14ac:dyDescent="0.35">
      <c r="A39" s="4">
        <v>38</v>
      </c>
      <c r="B39" t="s">
        <v>13</v>
      </c>
      <c r="C39" t="s">
        <v>14</v>
      </c>
      <c r="D39">
        <v>20</v>
      </c>
      <c r="E39" t="s">
        <v>11</v>
      </c>
      <c r="F39">
        <f>VLOOKUP(C39,[1]Sheet2!$A$1:$B$73,2,FALSE)</f>
        <v>0.59</v>
      </c>
      <c r="G39" s="5">
        <f t="shared" si="0"/>
        <v>166.31954393282456</v>
      </c>
      <c r="H39" s="5">
        <f t="shared" si="1"/>
        <v>0.16631954393282455</v>
      </c>
      <c r="I39" s="6">
        <f t="shared" si="2"/>
        <v>7.8170185648427537E-2</v>
      </c>
      <c r="J39" s="6">
        <f t="shared" si="3"/>
        <v>0.28662401404423427</v>
      </c>
    </row>
    <row r="40" spans="1:10" x14ac:dyDescent="0.35">
      <c r="A40" s="4">
        <v>39</v>
      </c>
      <c r="B40" t="s">
        <v>31</v>
      </c>
      <c r="C40" t="s">
        <v>32</v>
      </c>
      <c r="D40">
        <v>10</v>
      </c>
      <c r="E40" t="s">
        <v>11</v>
      </c>
      <c r="F40">
        <v>0.8</v>
      </c>
      <c r="G40" s="5">
        <f t="shared" si="0"/>
        <v>36.684505745389544</v>
      </c>
      <c r="H40" s="5">
        <f t="shared" si="1"/>
        <v>3.6684505745389541E-2</v>
      </c>
      <c r="I40" s="6">
        <f t="shared" si="2"/>
        <v>1.7241717700333083E-2</v>
      </c>
      <c r="J40" s="6">
        <f t="shared" si="3"/>
        <v>6.3219631567887971E-2</v>
      </c>
    </row>
    <row r="41" spans="1:10" x14ac:dyDescent="0.35">
      <c r="A41" s="4">
        <v>40</v>
      </c>
      <c r="B41" t="s">
        <v>13</v>
      </c>
      <c r="C41" t="s">
        <v>14</v>
      </c>
      <c r="D41">
        <v>15</v>
      </c>
      <c r="E41" t="s">
        <v>11</v>
      </c>
      <c r="F41">
        <f>VLOOKUP(C41,[1]Sheet2!$A$1:$B$73,2,FALSE)</f>
        <v>0.59</v>
      </c>
      <c r="G41" s="5">
        <f t="shared" si="0"/>
        <v>78.271525011800335</v>
      </c>
      <c r="H41" s="5">
        <f t="shared" si="1"/>
        <v>7.8271525011800333E-2</v>
      </c>
      <c r="I41" s="6">
        <f t="shared" si="2"/>
        <v>3.6787616755546156E-2</v>
      </c>
      <c r="J41" s="6">
        <f t="shared" si="3"/>
        <v>0.13488792810366923</v>
      </c>
    </row>
    <row r="42" spans="1:10" x14ac:dyDescent="0.35">
      <c r="A42" s="4">
        <v>41</v>
      </c>
      <c r="B42" t="s">
        <v>13</v>
      </c>
      <c r="C42" t="s">
        <v>14</v>
      </c>
      <c r="D42">
        <v>13</v>
      </c>
      <c r="E42" t="s">
        <v>11</v>
      </c>
      <c r="F42">
        <f>VLOOKUP(C42,[1]Sheet2!$A$1:$B$73,2,FALSE)</f>
        <v>0.59</v>
      </c>
      <c r="G42" s="5">
        <f t="shared" si="0"/>
        <v>53.799257248212662</v>
      </c>
      <c r="H42" s="5">
        <f t="shared" si="1"/>
        <v>5.3799257248212662E-2</v>
      </c>
      <c r="I42" s="6">
        <f t="shared" si="2"/>
        <v>2.5285650906659948E-2</v>
      </c>
      <c r="J42" s="6">
        <f t="shared" si="3"/>
        <v>9.2714053324419801E-2</v>
      </c>
    </row>
    <row r="43" spans="1:10" x14ac:dyDescent="0.35">
      <c r="A43" s="4">
        <v>42</v>
      </c>
      <c r="B43" t="s">
        <v>13</v>
      </c>
      <c r="C43" t="s">
        <v>14</v>
      </c>
      <c r="D43">
        <v>17</v>
      </c>
      <c r="E43" t="s">
        <v>11</v>
      </c>
      <c r="F43">
        <f>VLOOKUP(C43,[1]Sheet2!$A$1:$B$73,2,FALSE)</f>
        <v>0.59</v>
      </c>
      <c r="G43" s="5">
        <f t="shared" si="0"/>
        <v>108.64778350315085</v>
      </c>
      <c r="H43" s="5">
        <f t="shared" si="1"/>
        <v>0.10864778350315085</v>
      </c>
      <c r="I43" s="6">
        <f t="shared" si="2"/>
        <v>5.1064458246480898E-2</v>
      </c>
      <c r="J43" s="6">
        <f t="shared" si="3"/>
        <v>0.18723634690376328</v>
      </c>
    </row>
    <row r="44" spans="1:10" x14ac:dyDescent="0.35">
      <c r="A44" s="4">
        <v>43</v>
      </c>
      <c r="B44" t="s">
        <v>13</v>
      </c>
      <c r="C44" t="s">
        <v>14</v>
      </c>
      <c r="D44">
        <v>8</v>
      </c>
      <c r="E44" t="s">
        <v>12</v>
      </c>
      <c r="F44">
        <f>VLOOKUP(C44,[1]Sheet2!$A$1:$B$73,2,FALSE)</f>
        <v>0.59</v>
      </c>
      <c r="G44" s="5">
        <f t="shared" si="0"/>
        <v>15.077886254101433</v>
      </c>
      <c r="H44" s="5">
        <f t="shared" si="1"/>
        <v>1.5077886254101433E-2</v>
      </c>
      <c r="I44" s="6">
        <f t="shared" si="2"/>
        <v>7.0866065394276732E-3</v>
      </c>
      <c r="J44" s="6">
        <f t="shared" si="3"/>
        <v>2.5984223977901469E-2</v>
      </c>
    </row>
    <row r="45" spans="1:10" x14ac:dyDescent="0.35">
      <c r="A45" s="4">
        <v>44</v>
      </c>
      <c r="B45" s="7" t="s">
        <v>23</v>
      </c>
      <c r="C45" s="7" t="s">
        <v>24</v>
      </c>
      <c r="D45">
        <v>3</v>
      </c>
      <c r="E45" t="s">
        <v>12</v>
      </c>
      <c r="F45">
        <v>0.76</v>
      </c>
      <c r="G45" s="5">
        <f t="shared" si="0"/>
        <v>1.4868390706110468</v>
      </c>
      <c r="H45" s="5">
        <f t="shared" si="1"/>
        <v>1.4868390706110467E-3</v>
      </c>
      <c r="I45" s="6">
        <f t="shared" si="2"/>
        <v>6.9881436318719188E-4</v>
      </c>
      <c r="J45" s="6">
        <f t="shared" si="3"/>
        <v>2.5623193316863702E-3</v>
      </c>
    </row>
    <row r="46" spans="1:10" x14ac:dyDescent="0.35">
      <c r="A46" s="4">
        <v>45</v>
      </c>
      <c r="B46" s="7" t="s">
        <v>23</v>
      </c>
      <c r="C46" s="7" t="s">
        <v>24</v>
      </c>
      <c r="D46">
        <v>14</v>
      </c>
      <c r="E46" t="s">
        <v>11</v>
      </c>
      <c r="F46">
        <v>0.76</v>
      </c>
      <c r="G46" s="5">
        <f t="shared" si="0"/>
        <v>84.151474662879806</v>
      </c>
      <c r="H46" s="5">
        <f t="shared" si="1"/>
        <v>8.415147466287981E-2</v>
      </c>
      <c r="I46" s="6">
        <f t="shared" si="2"/>
        <v>3.9551193091553506E-2</v>
      </c>
      <c r="J46" s="6">
        <f t="shared" si="3"/>
        <v>0.14502104133569618</v>
      </c>
    </row>
    <row r="47" spans="1:10" x14ac:dyDescent="0.35">
      <c r="A47" s="4">
        <v>46</v>
      </c>
      <c r="B47" t="s">
        <v>13</v>
      </c>
      <c r="C47" t="s">
        <v>14</v>
      </c>
      <c r="D47">
        <v>17</v>
      </c>
      <c r="E47" t="s">
        <v>11</v>
      </c>
      <c r="F47">
        <f>VLOOKUP(C47,[1]Sheet2!$A$1:$B$73,2,FALSE)</f>
        <v>0.59</v>
      </c>
      <c r="G47" s="5">
        <f t="shared" si="0"/>
        <v>108.64778350315085</v>
      </c>
      <c r="H47" s="5">
        <f t="shared" si="1"/>
        <v>0.10864778350315085</v>
      </c>
      <c r="I47" s="6">
        <f t="shared" si="2"/>
        <v>5.1064458246480898E-2</v>
      </c>
      <c r="J47" s="6">
        <f t="shared" si="3"/>
        <v>0.18723634690376328</v>
      </c>
    </row>
    <row r="48" spans="1:10" x14ac:dyDescent="0.35">
      <c r="A48" s="4">
        <v>47</v>
      </c>
      <c r="B48" t="s">
        <v>13</v>
      </c>
      <c r="C48" t="s">
        <v>14</v>
      </c>
      <c r="D48">
        <v>43</v>
      </c>
      <c r="E48" t="s">
        <v>17</v>
      </c>
      <c r="F48">
        <f>VLOOKUP(C48,[1]Sheet2!$A$1:$B$73,2,FALSE)</f>
        <v>0.59</v>
      </c>
      <c r="G48" s="5">
        <f t="shared" si="0"/>
        <v>1235.754072616051</v>
      </c>
      <c r="H48" s="5">
        <f t="shared" si="1"/>
        <v>1.235754072616051</v>
      </c>
      <c r="I48" s="6">
        <f t="shared" si="2"/>
        <v>0.58080441412954398</v>
      </c>
      <c r="J48" s="6">
        <f t="shared" si="3"/>
        <v>2.1296161851416611</v>
      </c>
    </row>
    <row r="49" spans="1:10" x14ac:dyDescent="0.35">
      <c r="A49" s="4">
        <v>48</v>
      </c>
      <c r="B49" t="s">
        <v>13</v>
      </c>
      <c r="C49" t="s">
        <v>14</v>
      </c>
      <c r="D49">
        <v>6</v>
      </c>
      <c r="E49" t="s">
        <v>12</v>
      </c>
      <c r="F49">
        <f>VLOOKUP(C49,[1]Sheet2!$A$1:$B$73,2,FALSE)</f>
        <v>0.59</v>
      </c>
      <c r="G49" s="5">
        <f t="shared" si="0"/>
        <v>7.0957935739629248</v>
      </c>
      <c r="H49" s="5">
        <f t="shared" si="1"/>
        <v>7.0957935739629245E-3</v>
      </c>
      <c r="I49" s="6">
        <f t="shared" si="2"/>
        <v>3.3350229797625744E-3</v>
      </c>
      <c r="J49" s="6">
        <f t="shared" si="3"/>
        <v>1.2228417592462772E-2</v>
      </c>
    </row>
    <row r="50" spans="1:10" x14ac:dyDescent="0.35">
      <c r="A50" s="4">
        <v>49</v>
      </c>
      <c r="B50" s="7" t="s">
        <v>33</v>
      </c>
      <c r="C50" s="7" t="s">
        <v>34</v>
      </c>
      <c r="D50">
        <v>20</v>
      </c>
      <c r="E50" t="s">
        <v>11</v>
      </c>
      <c r="F50">
        <v>0.56000000000000005</v>
      </c>
      <c r="G50" s="5">
        <f t="shared" si="0"/>
        <v>157.86261797013859</v>
      </c>
      <c r="H50" s="5">
        <f t="shared" si="1"/>
        <v>0.15786261797013859</v>
      </c>
      <c r="I50" s="6">
        <f t="shared" si="2"/>
        <v>7.4195430445965133E-2</v>
      </c>
      <c r="J50" s="6">
        <f t="shared" si="3"/>
        <v>0.27204991163520548</v>
      </c>
    </row>
    <row r="51" spans="1:10" x14ac:dyDescent="0.35">
      <c r="A51" s="4">
        <v>50</v>
      </c>
      <c r="B51" s="7" t="s">
        <v>33</v>
      </c>
      <c r="C51" s="7" t="s">
        <v>34</v>
      </c>
      <c r="D51">
        <v>6</v>
      </c>
      <c r="E51" t="s">
        <v>12</v>
      </c>
      <c r="F51">
        <v>0.56000000000000005</v>
      </c>
      <c r="G51" s="5">
        <f t="shared" si="0"/>
        <v>6.7349905108800652</v>
      </c>
      <c r="H51" s="5">
        <f t="shared" si="1"/>
        <v>6.7349905108800654E-3</v>
      </c>
      <c r="I51" s="6">
        <f t="shared" si="2"/>
        <v>3.1654455401136307E-3</v>
      </c>
      <c r="J51" s="6">
        <f t="shared" si="3"/>
        <v>1.1606633647083312E-2</v>
      </c>
    </row>
    <row r="52" spans="1:10" x14ac:dyDescent="0.35">
      <c r="A52" s="4">
        <v>51</v>
      </c>
      <c r="B52" t="s">
        <v>13</v>
      </c>
      <c r="C52" t="s">
        <v>14</v>
      </c>
      <c r="D52">
        <v>17</v>
      </c>
      <c r="E52" t="s">
        <v>11</v>
      </c>
      <c r="F52">
        <f>VLOOKUP(C52,[1]Sheet2!$A$1:$B$73,2,FALSE)</f>
        <v>0.59</v>
      </c>
      <c r="G52" s="5">
        <f t="shared" si="0"/>
        <v>108.64778350315085</v>
      </c>
      <c r="H52" s="5">
        <f t="shared" si="1"/>
        <v>0.10864778350315085</v>
      </c>
      <c r="I52" s="6">
        <f t="shared" si="2"/>
        <v>5.1064458246480898E-2</v>
      </c>
      <c r="J52" s="6">
        <f t="shared" si="3"/>
        <v>0.18723634690376328</v>
      </c>
    </row>
    <row r="53" spans="1:10" x14ac:dyDescent="0.35">
      <c r="A53" s="4">
        <v>52</v>
      </c>
      <c r="B53" t="s">
        <v>13</v>
      </c>
      <c r="C53" t="s">
        <v>14</v>
      </c>
      <c r="D53">
        <v>8</v>
      </c>
      <c r="E53" t="s">
        <v>12</v>
      </c>
      <c r="F53">
        <f>VLOOKUP(C53,[1]Sheet2!$A$1:$B$73,2,FALSE)</f>
        <v>0.59</v>
      </c>
      <c r="G53" s="5">
        <f t="shared" si="0"/>
        <v>15.077886254101433</v>
      </c>
      <c r="H53" s="5">
        <f t="shared" si="1"/>
        <v>1.5077886254101433E-2</v>
      </c>
      <c r="I53" s="6">
        <f t="shared" si="2"/>
        <v>7.0866065394276732E-3</v>
      </c>
      <c r="J53" s="6">
        <f t="shared" si="3"/>
        <v>2.5984223977901469E-2</v>
      </c>
    </row>
    <row r="54" spans="1:10" x14ac:dyDescent="0.35">
      <c r="A54" s="4">
        <v>53</v>
      </c>
      <c r="B54" t="s">
        <v>18</v>
      </c>
      <c r="C54" t="s">
        <v>19</v>
      </c>
      <c r="D54">
        <v>16</v>
      </c>
      <c r="E54" t="s">
        <v>11</v>
      </c>
      <c r="F54">
        <f>VLOOKUP(C54,[1]Sheet2!$A$1:$B$73,2,FALSE)</f>
        <v>0.92</v>
      </c>
      <c r="G54" s="5">
        <f t="shared" si="0"/>
        <v>144.53561245149297</v>
      </c>
      <c r="H54" s="5">
        <f t="shared" si="1"/>
        <v>0.14453561245149296</v>
      </c>
      <c r="I54" s="6">
        <f t="shared" si="2"/>
        <v>6.793173785220169E-2</v>
      </c>
      <c r="J54" s="6">
        <f t="shared" si="3"/>
        <v>0.2490830387914062</v>
      </c>
    </row>
    <row r="55" spans="1:10" x14ac:dyDescent="0.35">
      <c r="A55" s="4">
        <v>54</v>
      </c>
      <c r="B55" t="s">
        <v>18</v>
      </c>
      <c r="C55" t="s">
        <v>19</v>
      </c>
      <c r="D55">
        <v>35</v>
      </c>
      <c r="E55" t="s">
        <v>17</v>
      </c>
      <c r="F55">
        <f>VLOOKUP(C55,[1]Sheet2!$A$1:$B$73,2,FALSE)</f>
        <v>0.92</v>
      </c>
      <c r="G55" s="5">
        <f t="shared" si="0"/>
        <v>1123.6700066669032</v>
      </c>
      <c r="H55" s="5">
        <f t="shared" si="1"/>
        <v>1.1236700066669032</v>
      </c>
      <c r="I55" s="6">
        <f t="shared" si="2"/>
        <v>0.52812490313344451</v>
      </c>
      <c r="J55" s="6">
        <f t="shared" si="3"/>
        <v>1.9364579781559632</v>
      </c>
    </row>
    <row r="56" spans="1:10" x14ac:dyDescent="0.35">
      <c r="A56" s="4">
        <v>55</v>
      </c>
      <c r="B56" t="s">
        <v>13</v>
      </c>
      <c r="C56" t="s">
        <v>14</v>
      </c>
      <c r="D56">
        <v>13</v>
      </c>
      <c r="E56" t="s">
        <v>11</v>
      </c>
      <c r="F56">
        <f>VLOOKUP(C56,[1]Sheet2!$A$1:$B$73,2,FALSE)</f>
        <v>0.59</v>
      </c>
      <c r="G56" s="5">
        <f t="shared" si="0"/>
        <v>53.799257248212662</v>
      </c>
      <c r="H56" s="5">
        <f t="shared" si="1"/>
        <v>5.3799257248212662E-2</v>
      </c>
      <c r="I56" s="6">
        <f t="shared" si="2"/>
        <v>2.5285650906659948E-2</v>
      </c>
      <c r="J56" s="6">
        <f t="shared" si="3"/>
        <v>9.2714053324419801E-2</v>
      </c>
    </row>
    <row r="57" spans="1:10" x14ac:dyDescent="0.35">
      <c r="A57" s="4">
        <v>56</v>
      </c>
      <c r="B57" t="s">
        <v>18</v>
      </c>
      <c r="C57" t="s">
        <v>19</v>
      </c>
      <c r="D57">
        <v>21</v>
      </c>
      <c r="E57" t="s">
        <v>17</v>
      </c>
      <c r="F57">
        <f>VLOOKUP(C57,[1]Sheet2!$A$1:$B$73,2,FALSE)</f>
        <v>0.92</v>
      </c>
      <c r="G57" s="5">
        <f t="shared" si="0"/>
        <v>294.71013047569699</v>
      </c>
      <c r="H57" s="5">
        <f t="shared" si="1"/>
        <v>0.294710130475697</v>
      </c>
      <c r="I57" s="6">
        <f t="shared" si="2"/>
        <v>0.13851376132357757</v>
      </c>
      <c r="J57" s="6">
        <f t="shared" si="3"/>
        <v>0.50788379151978436</v>
      </c>
    </row>
    <row r="58" spans="1:10" x14ac:dyDescent="0.35">
      <c r="A58" s="4">
        <v>57</v>
      </c>
      <c r="B58" t="s">
        <v>18</v>
      </c>
      <c r="C58" t="s">
        <v>19</v>
      </c>
      <c r="D58">
        <v>32</v>
      </c>
      <c r="E58" t="s">
        <v>17</v>
      </c>
      <c r="F58">
        <f>VLOOKUP(C58,[1]Sheet2!$A$1:$B$73,2,FALSE)</f>
        <v>0.92</v>
      </c>
      <c r="G58" s="5">
        <f t="shared" si="0"/>
        <v>888.53278235584833</v>
      </c>
      <c r="H58" s="5">
        <f t="shared" si="1"/>
        <v>0.88853278235584832</v>
      </c>
      <c r="I58" s="6">
        <f t="shared" si="2"/>
        <v>0.41761040770724867</v>
      </c>
      <c r="J58" s="6">
        <f t="shared" si="3"/>
        <v>1.5312381615932451</v>
      </c>
    </row>
    <row r="59" spans="1:10" x14ac:dyDescent="0.35">
      <c r="A59" s="4">
        <v>58</v>
      </c>
      <c r="B59" t="s">
        <v>18</v>
      </c>
      <c r="C59" t="s">
        <v>19</v>
      </c>
      <c r="D59">
        <v>21</v>
      </c>
      <c r="E59" t="s">
        <v>17</v>
      </c>
      <c r="F59">
        <f>VLOOKUP(C59,[1]Sheet2!$A$1:$B$73,2,FALSE)</f>
        <v>0.92</v>
      </c>
      <c r="G59" s="5">
        <f t="shared" si="0"/>
        <v>294.71013047569699</v>
      </c>
      <c r="H59" s="5">
        <f t="shared" si="1"/>
        <v>0.294710130475697</v>
      </c>
      <c r="I59" s="6">
        <f t="shared" si="2"/>
        <v>0.13851376132357757</v>
      </c>
      <c r="J59" s="6">
        <f t="shared" si="3"/>
        <v>0.50788379151978436</v>
      </c>
    </row>
    <row r="60" spans="1:10" x14ac:dyDescent="0.35">
      <c r="A60" s="4">
        <v>59</v>
      </c>
      <c r="B60" t="s">
        <v>18</v>
      </c>
      <c r="C60" t="s">
        <v>19</v>
      </c>
      <c r="D60">
        <v>21</v>
      </c>
      <c r="E60" t="s">
        <v>17</v>
      </c>
      <c r="F60">
        <f>VLOOKUP(C60,[1]Sheet2!$A$1:$B$73,2,FALSE)</f>
        <v>0.92</v>
      </c>
      <c r="G60" s="5">
        <f t="shared" si="0"/>
        <v>294.71013047569699</v>
      </c>
      <c r="H60" s="5">
        <f t="shared" si="1"/>
        <v>0.294710130475697</v>
      </c>
      <c r="I60" s="6">
        <f t="shared" si="2"/>
        <v>0.13851376132357757</v>
      </c>
      <c r="J60" s="6">
        <f t="shared" si="3"/>
        <v>0.50788379151978436</v>
      </c>
    </row>
    <row r="61" spans="1:10" x14ac:dyDescent="0.35">
      <c r="A61" s="4">
        <v>60</v>
      </c>
      <c r="B61" t="s">
        <v>18</v>
      </c>
      <c r="C61" t="s">
        <v>19</v>
      </c>
      <c r="D61">
        <v>24</v>
      </c>
      <c r="E61" t="s">
        <v>17</v>
      </c>
      <c r="F61">
        <f>VLOOKUP(C61,[1]Sheet2!$A$1:$B$73,2,FALSE)</f>
        <v>0.92</v>
      </c>
      <c r="G61" s="5">
        <f t="shared" si="0"/>
        <v>418.15179535400807</v>
      </c>
      <c r="H61" s="5">
        <f t="shared" si="1"/>
        <v>0.41815179535400809</v>
      </c>
      <c r="I61" s="6">
        <f t="shared" si="2"/>
        <v>0.19653134381638379</v>
      </c>
      <c r="J61" s="6">
        <f t="shared" si="3"/>
        <v>0.72061492732674048</v>
      </c>
    </row>
    <row r="62" spans="1:10" x14ac:dyDescent="0.35">
      <c r="A62" s="4">
        <v>61</v>
      </c>
      <c r="B62" t="s">
        <v>18</v>
      </c>
      <c r="C62" t="s">
        <v>19</v>
      </c>
      <c r="D62">
        <v>28</v>
      </c>
      <c r="E62" t="s">
        <v>17</v>
      </c>
      <c r="F62">
        <f>VLOOKUP(C62,[1]Sheet2!$A$1:$B$73,2,FALSE)</f>
        <v>0.92</v>
      </c>
      <c r="G62" s="5">
        <f t="shared" si="0"/>
        <v>626.23098867322938</v>
      </c>
      <c r="H62" s="5">
        <f t="shared" si="1"/>
        <v>0.62623098867322935</v>
      </c>
      <c r="I62" s="6">
        <f t="shared" si="2"/>
        <v>0.29432856467641777</v>
      </c>
      <c r="J62" s="6">
        <f t="shared" si="3"/>
        <v>1.0792047371468652</v>
      </c>
    </row>
    <row r="63" spans="1:10" x14ac:dyDescent="0.35">
      <c r="A63" s="4">
        <v>62</v>
      </c>
      <c r="B63" t="s">
        <v>18</v>
      </c>
      <c r="C63" t="s">
        <v>19</v>
      </c>
      <c r="D63">
        <v>25</v>
      </c>
      <c r="E63" t="s">
        <v>17</v>
      </c>
      <c r="F63">
        <f>VLOOKUP(C63,[1]Sheet2!$A$1:$B$73,2,FALSE)</f>
        <v>0.92</v>
      </c>
      <c r="G63" s="5">
        <f t="shared" si="0"/>
        <v>465.35387563437729</v>
      </c>
      <c r="H63" s="5">
        <f t="shared" si="1"/>
        <v>0.4653538756343773</v>
      </c>
      <c r="I63" s="6">
        <f t="shared" si="2"/>
        <v>0.21871632154815732</v>
      </c>
      <c r="J63" s="6">
        <f t="shared" si="3"/>
        <v>0.80195984567657674</v>
      </c>
    </row>
    <row r="64" spans="1:10" x14ac:dyDescent="0.35">
      <c r="A64" s="4">
        <v>63</v>
      </c>
      <c r="B64" t="s">
        <v>18</v>
      </c>
      <c r="C64" t="s">
        <v>19</v>
      </c>
      <c r="D64">
        <v>15</v>
      </c>
      <c r="E64" t="s">
        <v>11</v>
      </c>
      <c r="F64">
        <f>VLOOKUP(C64,[1]Sheet2!$A$1:$B$73,2,FALSE)</f>
        <v>0.92</v>
      </c>
      <c r="G64" s="5">
        <f t="shared" si="0"/>
        <v>122.05051357772255</v>
      </c>
      <c r="H64" s="5">
        <f t="shared" si="1"/>
        <v>0.12205051357772255</v>
      </c>
      <c r="I64" s="6">
        <f t="shared" si="2"/>
        <v>5.7363741381529595E-2</v>
      </c>
      <c r="J64" s="6">
        <f t="shared" si="3"/>
        <v>0.21033371839894185</v>
      </c>
    </row>
    <row r="65" spans="1:10" x14ac:dyDescent="0.35">
      <c r="A65" s="4">
        <v>64</v>
      </c>
      <c r="B65" t="s">
        <v>18</v>
      </c>
      <c r="C65" t="s">
        <v>19</v>
      </c>
      <c r="D65">
        <v>8</v>
      </c>
      <c r="E65" t="s">
        <v>12</v>
      </c>
      <c r="F65">
        <f>VLOOKUP(C65,[1]Sheet2!$A$1:$B$73,2,FALSE)</f>
        <v>0.92</v>
      </c>
      <c r="G65" s="5">
        <f t="shared" si="0"/>
        <v>23.511280260632741</v>
      </c>
      <c r="H65" s="5">
        <f t="shared" si="1"/>
        <v>2.351128026063274E-2</v>
      </c>
      <c r="I65" s="6">
        <f t="shared" si="2"/>
        <v>1.1050301722497387E-2</v>
      </c>
      <c r="J65" s="6">
        <f t="shared" si="3"/>
        <v>4.0517772982490416E-2</v>
      </c>
    </row>
    <row r="66" spans="1:10" x14ac:dyDescent="0.35">
      <c r="A66" s="4">
        <v>65</v>
      </c>
      <c r="B66" t="s">
        <v>18</v>
      </c>
      <c r="C66" t="s">
        <v>19</v>
      </c>
      <c r="D66">
        <v>10</v>
      </c>
      <c r="E66" t="s">
        <v>11</v>
      </c>
      <c r="F66">
        <f>VLOOKUP(C66,[1]Sheet2!$A$1:$B$73,2,FALSE)</f>
        <v>0.92</v>
      </c>
      <c r="G66" s="5">
        <f t="shared" ref="G66:G129" si="4">0.11*F66*(D66^2.62)</f>
        <v>42.187181607197971</v>
      </c>
      <c r="H66" s="5">
        <f t="shared" si="1"/>
        <v>4.218718160719797E-2</v>
      </c>
      <c r="I66" s="6">
        <f t="shared" si="2"/>
        <v>1.9827975355383044E-2</v>
      </c>
      <c r="J66" s="6">
        <f t="shared" si="3"/>
        <v>7.2702576303071156E-2</v>
      </c>
    </row>
    <row r="67" spans="1:10" x14ac:dyDescent="0.35">
      <c r="A67" s="4">
        <v>66</v>
      </c>
      <c r="B67" t="s">
        <v>18</v>
      </c>
      <c r="C67" t="s">
        <v>19</v>
      </c>
      <c r="D67">
        <v>12</v>
      </c>
      <c r="E67" t="s">
        <v>11</v>
      </c>
      <c r="F67">
        <f>VLOOKUP(C67,[1]Sheet2!$A$1:$B$73,2,FALSE)</f>
        <v>0.92</v>
      </c>
      <c r="G67" s="5">
        <f t="shared" si="4"/>
        <v>68.019804152795004</v>
      </c>
      <c r="H67" s="5">
        <f t="shared" ref="H67:H130" si="5">G67/1000</f>
        <v>6.8019804152795002E-2</v>
      </c>
      <c r="I67" s="6">
        <f t="shared" ref="I67:I130" si="6">H67*0.47</f>
        <v>3.1969307951813651E-2</v>
      </c>
      <c r="J67" s="6">
        <f t="shared" ref="J67:J130" si="7">I67*(44/12)</f>
        <v>0.11722079582331671</v>
      </c>
    </row>
    <row r="68" spans="1:10" x14ac:dyDescent="0.35">
      <c r="A68" s="4">
        <v>67</v>
      </c>
      <c r="B68" t="s">
        <v>18</v>
      </c>
      <c r="C68" t="s">
        <v>19</v>
      </c>
      <c r="D68">
        <v>10</v>
      </c>
      <c r="E68" t="s">
        <v>11</v>
      </c>
      <c r="F68">
        <f>VLOOKUP(C68,[1]Sheet2!$A$1:$B$73,2,FALSE)</f>
        <v>0.92</v>
      </c>
      <c r="G68" s="5">
        <f t="shared" si="4"/>
        <v>42.187181607197971</v>
      </c>
      <c r="H68" s="5">
        <f t="shared" si="5"/>
        <v>4.218718160719797E-2</v>
      </c>
      <c r="I68" s="6">
        <f t="shared" si="6"/>
        <v>1.9827975355383044E-2</v>
      </c>
      <c r="J68" s="6">
        <f t="shared" si="7"/>
        <v>7.2702576303071156E-2</v>
      </c>
    </row>
    <row r="69" spans="1:10" x14ac:dyDescent="0.35">
      <c r="A69" s="4">
        <v>68</v>
      </c>
      <c r="B69" t="s">
        <v>18</v>
      </c>
      <c r="C69" t="s">
        <v>19</v>
      </c>
      <c r="D69">
        <v>8</v>
      </c>
      <c r="E69" t="s">
        <v>12</v>
      </c>
      <c r="F69">
        <f>VLOOKUP(C69,[1]Sheet2!$A$1:$B$73,2,FALSE)</f>
        <v>0.92</v>
      </c>
      <c r="G69" s="5">
        <f t="shared" si="4"/>
        <v>23.511280260632741</v>
      </c>
      <c r="H69" s="5">
        <f t="shared" si="5"/>
        <v>2.351128026063274E-2</v>
      </c>
      <c r="I69" s="6">
        <f t="shared" si="6"/>
        <v>1.1050301722497387E-2</v>
      </c>
      <c r="J69" s="6">
        <f t="shared" si="7"/>
        <v>4.0517772982490416E-2</v>
      </c>
    </row>
    <row r="70" spans="1:10" x14ac:dyDescent="0.35">
      <c r="A70" s="4">
        <v>69</v>
      </c>
      <c r="B70" t="s">
        <v>35</v>
      </c>
      <c r="C70" t="s">
        <v>36</v>
      </c>
      <c r="D70">
        <v>32</v>
      </c>
      <c r="E70" t="s">
        <v>17</v>
      </c>
      <c r="F70">
        <f>VLOOKUP(C70,[1]Sheet2!$A$1:$B$73,2,FALSE)</f>
        <v>0.59</v>
      </c>
      <c r="G70" s="5">
        <f t="shared" si="4"/>
        <v>569.81993651081575</v>
      </c>
      <c r="H70" s="5">
        <f t="shared" si="5"/>
        <v>0.56981993651081575</v>
      </c>
      <c r="I70" s="6">
        <f t="shared" si="6"/>
        <v>0.26781537016008339</v>
      </c>
      <c r="J70" s="6">
        <f t="shared" si="7"/>
        <v>0.98198969058697239</v>
      </c>
    </row>
    <row r="71" spans="1:10" x14ac:dyDescent="0.35">
      <c r="A71" s="4">
        <v>70</v>
      </c>
      <c r="B71" t="s">
        <v>37</v>
      </c>
      <c r="C71" t="s">
        <v>38</v>
      </c>
      <c r="D71">
        <v>20</v>
      </c>
      <c r="E71" t="s">
        <v>11</v>
      </c>
      <c r="F71">
        <v>0.75</v>
      </c>
      <c r="G71" s="5">
        <f t="shared" si="4"/>
        <v>211.42314906714986</v>
      </c>
      <c r="H71" s="5">
        <f t="shared" si="5"/>
        <v>0.21142314906714987</v>
      </c>
      <c r="I71" s="6">
        <f t="shared" si="6"/>
        <v>9.936888006156043E-2</v>
      </c>
      <c r="J71" s="6">
        <f t="shared" si="7"/>
        <v>0.36435256022572154</v>
      </c>
    </row>
    <row r="72" spans="1:10" x14ac:dyDescent="0.35">
      <c r="A72" s="4">
        <v>71</v>
      </c>
      <c r="B72" t="s">
        <v>35</v>
      </c>
      <c r="C72" t="s">
        <v>36</v>
      </c>
      <c r="D72">
        <v>32</v>
      </c>
      <c r="E72" t="s">
        <v>17</v>
      </c>
      <c r="F72">
        <f>VLOOKUP(C72,[1]Sheet2!$A$1:$B$73,2,FALSE)</f>
        <v>0.59</v>
      </c>
      <c r="G72" s="5">
        <f t="shared" si="4"/>
        <v>569.81993651081575</v>
      </c>
      <c r="H72" s="5">
        <f t="shared" si="5"/>
        <v>0.56981993651081575</v>
      </c>
      <c r="I72" s="6">
        <f t="shared" si="6"/>
        <v>0.26781537016008339</v>
      </c>
      <c r="J72" s="6">
        <f t="shared" si="7"/>
        <v>0.98198969058697239</v>
      </c>
    </row>
    <row r="73" spans="1:10" x14ac:dyDescent="0.35">
      <c r="A73" s="4">
        <v>72</v>
      </c>
      <c r="B73" t="s">
        <v>35</v>
      </c>
      <c r="C73" t="s">
        <v>36</v>
      </c>
      <c r="D73">
        <v>30</v>
      </c>
      <c r="E73" t="s">
        <v>17</v>
      </c>
      <c r="F73">
        <f>VLOOKUP(C73,[1]Sheet2!$A$1:$B$73,2,FALSE)</f>
        <v>0.59</v>
      </c>
      <c r="G73" s="5">
        <f t="shared" si="4"/>
        <v>481.17425676879975</v>
      </c>
      <c r="H73" s="5">
        <f t="shared" si="5"/>
        <v>0.48117425676879977</v>
      </c>
      <c r="I73" s="6">
        <f t="shared" si="6"/>
        <v>0.22615190068133587</v>
      </c>
      <c r="J73" s="6">
        <f t="shared" si="7"/>
        <v>0.82922363583156478</v>
      </c>
    </row>
    <row r="74" spans="1:10" x14ac:dyDescent="0.35">
      <c r="A74" s="4">
        <v>73</v>
      </c>
      <c r="B74" t="s">
        <v>35</v>
      </c>
      <c r="C74" t="s">
        <v>36</v>
      </c>
      <c r="D74">
        <v>28</v>
      </c>
      <c r="E74" t="s">
        <v>17</v>
      </c>
      <c r="F74">
        <f>VLOOKUP(C74,[1]Sheet2!$A$1:$B$73,2,FALSE)</f>
        <v>0.59</v>
      </c>
      <c r="G74" s="5">
        <f t="shared" si="4"/>
        <v>401.60465577957103</v>
      </c>
      <c r="H74" s="5">
        <f t="shared" si="5"/>
        <v>0.40160465577957105</v>
      </c>
      <c r="I74" s="6">
        <f t="shared" si="6"/>
        <v>0.18875418821639839</v>
      </c>
      <c r="J74" s="6">
        <f t="shared" si="7"/>
        <v>0.69209869012679404</v>
      </c>
    </row>
    <row r="75" spans="1:10" x14ac:dyDescent="0.35">
      <c r="A75" s="4">
        <v>74</v>
      </c>
      <c r="B75" t="s">
        <v>35</v>
      </c>
      <c r="C75" t="s">
        <v>36</v>
      </c>
      <c r="D75">
        <v>32</v>
      </c>
      <c r="E75" t="s">
        <v>17</v>
      </c>
      <c r="F75">
        <f>VLOOKUP(C75,[1]Sheet2!$A$1:$B$73,2,FALSE)</f>
        <v>0.59</v>
      </c>
      <c r="G75" s="5">
        <f t="shared" si="4"/>
        <v>569.81993651081575</v>
      </c>
      <c r="H75" s="5">
        <f t="shared" si="5"/>
        <v>0.56981993651081575</v>
      </c>
      <c r="I75" s="6">
        <f t="shared" si="6"/>
        <v>0.26781537016008339</v>
      </c>
      <c r="J75" s="6">
        <f t="shared" si="7"/>
        <v>0.98198969058697239</v>
      </c>
    </row>
    <row r="76" spans="1:10" x14ac:dyDescent="0.35">
      <c r="A76" s="4">
        <v>75</v>
      </c>
      <c r="B76" t="s">
        <v>35</v>
      </c>
      <c r="C76" t="s">
        <v>36</v>
      </c>
      <c r="D76">
        <v>35</v>
      </c>
      <c r="E76" t="s">
        <v>17</v>
      </c>
      <c r="F76">
        <f>VLOOKUP(C76,[1]Sheet2!$A$1:$B$73,2,FALSE)</f>
        <v>0.59</v>
      </c>
      <c r="G76" s="5">
        <f t="shared" si="4"/>
        <v>720.61446079725317</v>
      </c>
      <c r="H76" s="5">
        <f t="shared" si="5"/>
        <v>0.72061446079725322</v>
      </c>
      <c r="I76" s="6">
        <f t="shared" si="6"/>
        <v>0.33868879657470902</v>
      </c>
      <c r="J76" s="6">
        <f t="shared" si="7"/>
        <v>1.241858920773933</v>
      </c>
    </row>
    <row r="77" spans="1:10" x14ac:dyDescent="0.35">
      <c r="A77" s="4">
        <v>76</v>
      </c>
      <c r="B77" s="7" t="s">
        <v>39</v>
      </c>
      <c r="C77" s="7" t="s">
        <v>14</v>
      </c>
      <c r="D77">
        <v>18</v>
      </c>
      <c r="E77" t="s">
        <v>11</v>
      </c>
      <c r="F77">
        <f>VLOOKUP(C77,[1]Sheet2!$A$1:$B$73,2,FALSE)</f>
        <v>0.59</v>
      </c>
      <c r="G77" s="5">
        <f t="shared" si="4"/>
        <v>126.19979811912519</v>
      </c>
      <c r="H77" s="5">
        <f t="shared" si="5"/>
        <v>0.12619979811912518</v>
      </c>
      <c r="I77" s="6">
        <f t="shared" si="6"/>
        <v>5.931390511598883E-2</v>
      </c>
      <c r="J77" s="6">
        <f t="shared" si="7"/>
        <v>0.2174843187586257</v>
      </c>
    </row>
    <row r="78" spans="1:10" x14ac:dyDescent="0.35">
      <c r="A78" s="4">
        <v>77</v>
      </c>
      <c r="B78" s="7" t="s">
        <v>40</v>
      </c>
      <c r="C78" s="7" t="s">
        <v>41</v>
      </c>
      <c r="D78">
        <v>32</v>
      </c>
      <c r="E78" t="s">
        <v>17</v>
      </c>
      <c r="F78">
        <v>0.42</v>
      </c>
      <c r="G78" s="5">
        <f t="shared" si="4"/>
        <v>405.63453107549594</v>
      </c>
      <c r="H78" s="5">
        <f t="shared" si="5"/>
        <v>0.40563453107549596</v>
      </c>
      <c r="I78" s="6">
        <f t="shared" si="6"/>
        <v>0.19064822960548308</v>
      </c>
      <c r="J78" s="6">
        <f t="shared" si="7"/>
        <v>0.69904350855343789</v>
      </c>
    </row>
    <row r="79" spans="1:10" x14ac:dyDescent="0.35">
      <c r="A79" s="4">
        <v>78</v>
      </c>
      <c r="B79" s="7" t="s">
        <v>35</v>
      </c>
      <c r="C79" s="7" t="s">
        <v>36</v>
      </c>
      <c r="D79">
        <v>40</v>
      </c>
      <c r="E79" t="s">
        <v>17</v>
      </c>
      <c r="F79">
        <f>VLOOKUP(C79,[1]Sheet2!$A$1:$B$73,2,FALSE)</f>
        <v>0.59</v>
      </c>
      <c r="G79" s="5">
        <f t="shared" si="4"/>
        <v>1022.449516933997</v>
      </c>
      <c r="H79" s="5">
        <f t="shared" si="5"/>
        <v>1.0224495169339969</v>
      </c>
      <c r="I79" s="6">
        <f t="shared" si="6"/>
        <v>0.48055127295897848</v>
      </c>
      <c r="J79" s="6">
        <f t="shared" si="7"/>
        <v>1.762021334182921</v>
      </c>
    </row>
    <row r="80" spans="1:10" x14ac:dyDescent="0.35">
      <c r="A80" s="4">
        <v>79</v>
      </c>
      <c r="B80" s="7" t="s">
        <v>35</v>
      </c>
      <c r="C80" s="7" t="s">
        <v>36</v>
      </c>
      <c r="D80">
        <v>32</v>
      </c>
      <c r="E80" t="s">
        <v>17</v>
      </c>
      <c r="F80">
        <f>VLOOKUP(C80,[1]Sheet2!$A$1:$B$73,2,FALSE)</f>
        <v>0.59</v>
      </c>
      <c r="G80" s="5">
        <f t="shared" si="4"/>
        <v>569.81993651081575</v>
      </c>
      <c r="H80" s="5">
        <f t="shared" si="5"/>
        <v>0.56981993651081575</v>
      </c>
      <c r="I80" s="6">
        <f t="shared" si="6"/>
        <v>0.26781537016008339</v>
      </c>
      <c r="J80" s="6">
        <f t="shared" si="7"/>
        <v>0.98198969058697239</v>
      </c>
    </row>
    <row r="81" spans="1:10" x14ac:dyDescent="0.35">
      <c r="A81" s="4">
        <v>80</v>
      </c>
      <c r="B81" s="7" t="s">
        <v>42</v>
      </c>
      <c r="C81" s="7" t="s">
        <v>43</v>
      </c>
      <c r="D81">
        <v>25</v>
      </c>
      <c r="E81" t="s">
        <v>17</v>
      </c>
      <c r="F81">
        <v>0.6</v>
      </c>
      <c r="G81" s="5">
        <f t="shared" si="4"/>
        <v>303.49165802241998</v>
      </c>
      <c r="H81" s="5">
        <f t="shared" si="5"/>
        <v>0.30349165802242001</v>
      </c>
      <c r="I81" s="6">
        <f t="shared" si="6"/>
        <v>0.1426410792705374</v>
      </c>
      <c r="J81" s="6">
        <f t="shared" si="7"/>
        <v>0.52301729065863711</v>
      </c>
    </row>
    <row r="82" spans="1:10" x14ac:dyDescent="0.35">
      <c r="A82" s="4">
        <v>81</v>
      </c>
      <c r="B82" s="7" t="s">
        <v>42</v>
      </c>
      <c r="C82" s="7" t="s">
        <v>43</v>
      </c>
      <c r="D82">
        <v>22</v>
      </c>
      <c r="E82" t="s">
        <v>17</v>
      </c>
      <c r="F82">
        <v>0.6</v>
      </c>
      <c r="G82" s="5">
        <f t="shared" si="4"/>
        <v>217.1157650628372</v>
      </c>
      <c r="H82" s="5">
        <f t="shared" si="5"/>
        <v>0.2171157650628372</v>
      </c>
      <c r="I82" s="6">
        <f t="shared" si="6"/>
        <v>0.10204440957953348</v>
      </c>
      <c r="J82" s="6">
        <f t="shared" si="7"/>
        <v>0.37416283512495607</v>
      </c>
    </row>
    <row r="83" spans="1:10" x14ac:dyDescent="0.35">
      <c r="A83" s="4">
        <v>82</v>
      </c>
      <c r="B83" s="7" t="s">
        <v>44</v>
      </c>
      <c r="C83" s="7" t="s">
        <v>45</v>
      </c>
      <c r="D83">
        <v>35</v>
      </c>
      <c r="E83" t="s">
        <v>17</v>
      </c>
      <c r="F83">
        <f>VLOOKUP(C83,[1]Sheet2!$A$1:$B$73,2,FALSE)</f>
        <v>0.97</v>
      </c>
      <c r="G83" s="5">
        <f t="shared" si="4"/>
        <v>1184.7390287683654</v>
      </c>
      <c r="H83" s="5">
        <f t="shared" si="5"/>
        <v>1.1847390287683655</v>
      </c>
      <c r="I83" s="6">
        <f t="shared" si="6"/>
        <v>0.55682734352113172</v>
      </c>
      <c r="J83" s="6">
        <f t="shared" si="7"/>
        <v>2.0417002595774827</v>
      </c>
    </row>
    <row r="84" spans="1:10" x14ac:dyDescent="0.35">
      <c r="A84" s="4">
        <v>83</v>
      </c>
      <c r="B84" s="7" t="s">
        <v>31</v>
      </c>
      <c r="C84" s="7" t="s">
        <v>46</v>
      </c>
      <c r="D84">
        <v>26</v>
      </c>
      <c r="E84" t="s">
        <v>17</v>
      </c>
      <c r="F84">
        <v>0.9</v>
      </c>
      <c r="G84" s="5">
        <f t="shared" si="4"/>
        <v>504.50487398546784</v>
      </c>
      <c r="H84" s="5">
        <f t="shared" si="5"/>
        <v>0.50450487398546784</v>
      </c>
      <c r="I84" s="6">
        <f t="shared" si="6"/>
        <v>0.23711729077316987</v>
      </c>
      <c r="J84" s="6">
        <f t="shared" si="7"/>
        <v>0.86943006616828944</v>
      </c>
    </row>
    <row r="85" spans="1:10" x14ac:dyDescent="0.35">
      <c r="A85" s="4">
        <v>84</v>
      </c>
      <c r="B85" s="7" t="s">
        <v>47</v>
      </c>
      <c r="C85" s="7" t="s">
        <v>48</v>
      </c>
      <c r="D85">
        <v>34</v>
      </c>
      <c r="E85" t="s">
        <v>17</v>
      </c>
      <c r="F85">
        <v>0.8</v>
      </c>
      <c r="G85" s="5">
        <f t="shared" si="4"/>
        <v>905.64383440241807</v>
      </c>
      <c r="H85" s="5">
        <f t="shared" si="5"/>
        <v>0.90564383440241802</v>
      </c>
      <c r="I85" s="6">
        <f t="shared" si="6"/>
        <v>0.42565260216913647</v>
      </c>
      <c r="J85" s="6">
        <f t="shared" si="7"/>
        <v>1.5607262079535003</v>
      </c>
    </row>
    <row r="86" spans="1:10" x14ac:dyDescent="0.35">
      <c r="A86" s="4">
        <v>85</v>
      </c>
      <c r="B86" s="7" t="s">
        <v>49</v>
      </c>
      <c r="C86" s="7" t="s">
        <v>50</v>
      </c>
      <c r="D86">
        <v>32</v>
      </c>
      <c r="E86" t="s">
        <v>17</v>
      </c>
      <c r="F86">
        <v>0.67</v>
      </c>
      <c r="G86" s="5">
        <f t="shared" si="4"/>
        <v>647.08365671567219</v>
      </c>
      <c r="H86" s="5">
        <f t="shared" si="5"/>
        <v>0.64708365671567214</v>
      </c>
      <c r="I86" s="6">
        <f t="shared" si="6"/>
        <v>0.30412931865636589</v>
      </c>
      <c r="J86" s="6">
        <f t="shared" si="7"/>
        <v>1.1151408350733416</v>
      </c>
    </row>
    <row r="87" spans="1:10" x14ac:dyDescent="0.35">
      <c r="A87" s="4">
        <v>86</v>
      </c>
      <c r="B87" s="7" t="s">
        <v>51</v>
      </c>
      <c r="C87" s="7" t="s">
        <v>52</v>
      </c>
      <c r="D87">
        <v>41</v>
      </c>
      <c r="E87" t="s">
        <v>17</v>
      </c>
      <c r="F87">
        <f>VLOOKUP(C87,[1]Sheet2!$A$1:$B$73,2,FALSE)</f>
        <v>0.39729999999999999</v>
      </c>
      <c r="G87" s="5">
        <f t="shared" si="4"/>
        <v>734.52224819508217</v>
      </c>
      <c r="H87" s="5">
        <f t="shared" si="5"/>
        <v>0.73452224819508216</v>
      </c>
      <c r="I87" s="6">
        <f t="shared" si="6"/>
        <v>0.34522545665168858</v>
      </c>
      <c r="J87" s="6">
        <f t="shared" si="7"/>
        <v>1.2658266743895248</v>
      </c>
    </row>
    <row r="88" spans="1:10" x14ac:dyDescent="0.35">
      <c r="A88" s="4">
        <v>87</v>
      </c>
      <c r="B88" s="7" t="s">
        <v>53</v>
      </c>
      <c r="C88" s="8" t="s">
        <v>54</v>
      </c>
      <c r="D88">
        <v>38</v>
      </c>
      <c r="E88" t="s">
        <v>17</v>
      </c>
      <c r="F88">
        <f>VLOOKUP(C88,[1]Sheet2!$A$1:$B$73,2,FALSE)</f>
        <v>0.48</v>
      </c>
      <c r="G88" s="5">
        <f t="shared" si="4"/>
        <v>727.22189439446674</v>
      </c>
      <c r="H88" s="5">
        <f t="shared" si="5"/>
        <v>0.72722189439446672</v>
      </c>
      <c r="I88" s="6">
        <f t="shared" si="6"/>
        <v>0.34179429036539932</v>
      </c>
      <c r="J88" s="6">
        <f t="shared" si="7"/>
        <v>1.2532457313397976</v>
      </c>
    </row>
    <row r="89" spans="1:10" x14ac:dyDescent="0.35">
      <c r="A89" s="4">
        <v>88</v>
      </c>
      <c r="B89" s="7" t="s">
        <v>51</v>
      </c>
      <c r="C89" s="7" t="s">
        <v>52</v>
      </c>
      <c r="D89">
        <v>32</v>
      </c>
      <c r="E89" t="s">
        <v>17</v>
      </c>
      <c r="F89">
        <f>VLOOKUP(C89,[1]Sheet2!$A$1:$B$73,2,FALSE)</f>
        <v>0.39729999999999999</v>
      </c>
      <c r="G89" s="5">
        <f t="shared" si="4"/>
        <v>383.71095046736798</v>
      </c>
      <c r="H89" s="5">
        <f t="shared" si="5"/>
        <v>0.38371095046736797</v>
      </c>
      <c r="I89" s="6">
        <f t="shared" si="6"/>
        <v>0.18034414671966292</v>
      </c>
      <c r="J89" s="6">
        <f t="shared" si="7"/>
        <v>0.66126187130543068</v>
      </c>
    </row>
    <row r="90" spans="1:10" x14ac:dyDescent="0.35">
      <c r="A90" s="4">
        <v>89</v>
      </c>
      <c r="B90" s="7" t="s">
        <v>55</v>
      </c>
      <c r="C90" s="7" t="s">
        <v>56</v>
      </c>
      <c r="D90">
        <v>31</v>
      </c>
      <c r="E90" t="s">
        <v>17</v>
      </c>
      <c r="F90">
        <f>VLOOKUP(C90,[1]Sheet2!$A$1:$B$73,2,FALSE)</f>
        <v>0.9</v>
      </c>
      <c r="G90" s="5">
        <f t="shared" si="4"/>
        <v>799.83947149651772</v>
      </c>
      <c r="H90" s="5">
        <f t="shared" si="5"/>
        <v>0.79983947149651768</v>
      </c>
      <c r="I90" s="6">
        <f t="shared" si="6"/>
        <v>0.3759245516033633</v>
      </c>
      <c r="J90" s="6">
        <f t="shared" si="7"/>
        <v>1.3783900225456653</v>
      </c>
    </row>
    <row r="91" spans="1:10" x14ac:dyDescent="0.35">
      <c r="A91" s="4">
        <v>90</v>
      </c>
      <c r="B91" s="7" t="s">
        <v>55</v>
      </c>
      <c r="C91" s="7" t="s">
        <v>56</v>
      </c>
      <c r="D91">
        <v>34</v>
      </c>
      <c r="E91" t="s">
        <v>17</v>
      </c>
      <c r="F91">
        <f>VLOOKUP(C91,[1]Sheet2!$A$1:$B$73,2,FALSE)</f>
        <v>0.9</v>
      </c>
      <c r="G91" s="5">
        <f t="shared" si="4"/>
        <v>1018.8493137027202</v>
      </c>
      <c r="H91" s="5">
        <f t="shared" si="5"/>
        <v>1.0188493137027201</v>
      </c>
      <c r="I91" s="6">
        <f t="shared" si="6"/>
        <v>0.47885917744027845</v>
      </c>
      <c r="J91" s="6">
        <f t="shared" si="7"/>
        <v>1.7558169839476876</v>
      </c>
    </row>
    <row r="92" spans="1:10" x14ac:dyDescent="0.35">
      <c r="A92" s="4">
        <v>91</v>
      </c>
      <c r="B92" s="7" t="s">
        <v>57</v>
      </c>
      <c r="C92" s="7" t="s">
        <v>58</v>
      </c>
      <c r="D92">
        <v>37</v>
      </c>
      <c r="E92" t="s">
        <v>17</v>
      </c>
      <c r="F92">
        <f>VLOOKUP(C92,[1]Sheet2!$A$1:$B$73,2,FALSE)</f>
        <v>0.5</v>
      </c>
      <c r="G92" s="5">
        <f t="shared" si="4"/>
        <v>706.40083926618092</v>
      </c>
      <c r="H92" s="5">
        <f t="shared" si="5"/>
        <v>0.70640083926618091</v>
      </c>
      <c r="I92" s="6">
        <f t="shared" si="6"/>
        <v>0.33200839445510499</v>
      </c>
      <c r="J92" s="6">
        <f t="shared" si="7"/>
        <v>1.2173641130020516</v>
      </c>
    </row>
    <row r="93" spans="1:10" x14ac:dyDescent="0.35">
      <c r="A93" s="4">
        <v>92</v>
      </c>
      <c r="B93" s="7" t="s">
        <v>59</v>
      </c>
      <c r="C93" s="7" t="s">
        <v>60</v>
      </c>
      <c r="D93">
        <v>32</v>
      </c>
      <c r="E93" t="s">
        <v>17</v>
      </c>
      <c r="F93">
        <f>VLOOKUP(C93,[1]Sheet2!$A$1:$B$73,2,FALSE)</f>
        <v>0.81</v>
      </c>
      <c r="G93" s="5">
        <f t="shared" si="4"/>
        <v>782.29516707417088</v>
      </c>
      <c r="H93" s="5">
        <f t="shared" si="5"/>
        <v>0.78229516707417091</v>
      </c>
      <c r="I93" s="6">
        <f t="shared" si="6"/>
        <v>0.36767872852486033</v>
      </c>
      <c r="J93" s="6">
        <f t="shared" si="7"/>
        <v>1.3481553379244879</v>
      </c>
    </row>
    <row r="94" spans="1:10" x14ac:dyDescent="0.35">
      <c r="A94" s="4">
        <v>93</v>
      </c>
      <c r="B94" s="7" t="s">
        <v>59</v>
      </c>
      <c r="C94" s="7" t="s">
        <v>60</v>
      </c>
      <c r="D94">
        <v>28</v>
      </c>
      <c r="E94" t="s">
        <v>17</v>
      </c>
      <c r="F94">
        <f>VLOOKUP(C94,[1]Sheet2!$A$1:$B$73,2,FALSE)</f>
        <v>0.81</v>
      </c>
      <c r="G94" s="5">
        <f t="shared" si="4"/>
        <v>551.35554437534336</v>
      </c>
      <c r="H94" s="5">
        <f t="shared" si="5"/>
        <v>0.5513555443753434</v>
      </c>
      <c r="I94" s="6">
        <f t="shared" si="6"/>
        <v>0.25913710585641136</v>
      </c>
      <c r="J94" s="6">
        <f t="shared" si="7"/>
        <v>0.95016938814017493</v>
      </c>
    </row>
    <row r="95" spans="1:10" x14ac:dyDescent="0.35">
      <c r="A95" s="4">
        <v>94</v>
      </c>
      <c r="B95" s="7" t="s">
        <v>59</v>
      </c>
      <c r="C95" s="7" t="s">
        <v>60</v>
      </c>
      <c r="D95">
        <v>30</v>
      </c>
      <c r="E95" t="s">
        <v>17</v>
      </c>
      <c r="F95">
        <f>VLOOKUP(C95,[1]Sheet2!$A$1:$B$73,2,FALSE)</f>
        <v>0.81</v>
      </c>
      <c r="G95" s="5">
        <f t="shared" si="4"/>
        <v>660.59516607242006</v>
      </c>
      <c r="H95" s="5">
        <f t="shared" si="5"/>
        <v>0.66059516607242008</v>
      </c>
      <c r="I95" s="6">
        <f t="shared" si="6"/>
        <v>0.3104797280540374</v>
      </c>
      <c r="J95" s="6">
        <f t="shared" si="7"/>
        <v>1.1384256695314705</v>
      </c>
    </row>
    <row r="96" spans="1:10" x14ac:dyDescent="0.35">
      <c r="A96" s="4">
        <v>95</v>
      </c>
      <c r="B96" s="7" t="s">
        <v>61</v>
      </c>
      <c r="C96" s="7" t="s">
        <v>62</v>
      </c>
      <c r="D96">
        <v>32</v>
      </c>
      <c r="E96" t="s">
        <v>17</v>
      </c>
      <c r="F96">
        <f>VLOOKUP(C96,[1]Sheet2!$A$1:$B$73,2,FALSE)</f>
        <v>0.9</v>
      </c>
      <c r="G96" s="5">
        <f t="shared" si="4"/>
        <v>869.21685230463424</v>
      </c>
      <c r="H96" s="5">
        <f t="shared" si="5"/>
        <v>0.86921685230463419</v>
      </c>
      <c r="I96" s="6">
        <f t="shared" si="6"/>
        <v>0.40853192058317805</v>
      </c>
      <c r="J96" s="6">
        <f t="shared" si="7"/>
        <v>1.4979503754716528</v>
      </c>
    </row>
    <row r="97" spans="1:10" x14ac:dyDescent="0.35">
      <c r="A97" s="4">
        <v>96</v>
      </c>
      <c r="B97" s="7" t="s">
        <v>63</v>
      </c>
      <c r="C97" s="7" t="s">
        <v>64</v>
      </c>
      <c r="D97">
        <v>34</v>
      </c>
      <c r="E97" t="s">
        <v>17</v>
      </c>
      <c r="F97">
        <f>VLOOKUP(C97,[1]Sheet2!$A$1:$B$73,2,FALSE)</f>
        <v>0.4</v>
      </c>
      <c r="G97" s="5">
        <f t="shared" si="4"/>
        <v>452.82191720120903</v>
      </c>
      <c r="H97" s="5">
        <f t="shared" si="5"/>
        <v>0.45282191720120901</v>
      </c>
      <c r="I97" s="6">
        <f t="shared" si="6"/>
        <v>0.21282630108456824</v>
      </c>
      <c r="J97" s="6">
        <f t="shared" si="7"/>
        <v>0.78036310397675013</v>
      </c>
    </row>
    <row r="98" spans="1:10" x14ac:dyDescent="0.35">
      <c r="A98" s="4">
        <v>97</v>
      </c>
      <c r="B98" s="7" t="s">
        <v>63</v>
      </c>
      <c r="C98" s="7" t="s">
        <v>64</v>
      </c>
      <c r="D98">
        <v>35</v>
      </c>
      <c r="E98" t="s">
        <v>17</v>
      </c>
      <c r="F98">
        <f>VLOOKUP(C98,[1]Sheet2!$A$1:$B$73,2,FALSE)</f>
        <v>0.4</v>
      </c>
      <c r="G98" s="5">
        <f t="shared" si="4"/>
        <v>488.55217681169711</v>
      </c>
      <c r="H98" s="5">
        <f t="shared" si="5"/>
        <v>0.4885521768116971</v>
      </c>
      <c r="I98" s="6">
        <f t="shared" si="6"/>
        <v>0.22961952310149764</v>
      </c>
      <c r="J98" s="6">
        <f t="shared" si="7"/>
        <v>0.84193825137215794</v>
      </c>
    </row>
    <row r="99" spans="1:10" x14ac:dyDescent="0.35">
      <c r="A99" s="4">
        <v>98</v>
      </c>
      <c r="B99" s="7" t="s">
        <v>40</v>
      </c>
      <c r="C99" s="7" t="s">
        <v>41</v>
      </c>
      <c r="D99">
        <v>41</v>
      </c>
      <c r="E99" t="s">
        <v>17</v>
      </c>
      <c r="F99">
        <f>VLOOKUP(C99,[1]Sheet2!$A$1:$B$73,2,FALSE)</f>
        <v>0.45</v>
      </c>
      <c r="G99" s="5">
        <f t="shared" si="4"/>
        <v>831.95321340998487</v>
      </c>
      <c r="H99" s="5">
        <f t="shared" si="5"/>
        <v>0.83195321340998485</v>
      </c>
      <c r="I99" s="6">
        <f t="shared" si="6"/>
        <v>0.39101801030269284</v>
      </c>
      <c r="J99" s="6">
        <f t="shared" si="7"/>
        <v>1.4337327044432071</v>
      </c>
    </row>
    <row r="100" spans="1:10" x14ac:dyDescent="0.35">
      <c r="A100" s="4">
        <v>99</v>
      </c>
      <c r="B100" s="7" t="s">
        <v>55</v>
      </c>
      <c r="C100" s="7" t="s">
        <v>56</v>
      </c>
      <c r="D100">
        <v>38</v>
      </c>
      <c r="E100" t="s">
        <v>17</v>
      </c>
      <c r="F100">
        <f>VLOOKUP(C100,[1]Sheet2!$A$1:$B$73,2,FALSE)</f>
        <v>0.9</v>
      </c>
      <c r="G100" s="5">
        <f t="shared" si="4"/>
        <v>1363.5410519896252</v>
      </c>
      <c r="H100" s="5">
        <f t="shared" si="5"/>
        <v>1.3635410519896252</v>
      </c>
      <c r="I100" s="6">
        <f t="shared" si="6"/>
        <v>0.64086429443512383</v>
      </c>
      <c r="J100" s="6">
        <f t="shared" si="7"/>
        <v>2.3498357462621207</v>
      </c>
    </row>
    <row r="101" spans="1:10" x14ac:dyDescent="0.35">
      <c r="A101" s="4">
        <v>100</v>
      </c>
      <c r="B101" s="7" t="s">
        <v>55</v>
      </c>
      <c r="C101" s="7" t="s">
        <v>56</v>
      </c>
      <c r="D101">
        <v>35</v>
      </c>
      <c r="E101" t="s">
        <v>17</v>
      </c>
      <c r="F101">
        <f>VLOOKUP(C101,[1]Sheet2!$A$1:$B$73,2,FALSE)</f>
        <v>0.9</v>
      </c>
      <c r="G101" s="5">
        <f t="shared" si="4"/>
        <v>1099.2423978263184</v>
      </c>
      <c r="H101" s="5">
        <f t="shared" si="5"/>
        <v>1.0992423978263184</v>
      </c>
      <c r="I101" s="6">
        <f t="shared" si="6"/>
        <v>0.51664392697836958</v>
      </c>
      <c r="J101" s="6">
        <f t="shared" si="7"/>
        <v>1.8943610655873551</v>
      </c>
    </row>
    <row r="102" spans="1:10" x14ac:dyDescent="0.35">
      <c r="A102" s="4">
        <v>101</v>
      </c>
      <c r="B102" s="7" t="s">
        <v>55</v>
      </c>
      <c r="C102" s="7" t="s">
        <v>56</v>
      </c>
      <c r="D102">
        <v>38</v>
      </c>
      <c r="E102" t="s">
        <v>17</v>
      </c>
      <c r="F102">
        <f>VLOOKUP(C102,[1]Sheet2!$A$1:$B$73,2,FALSE)</f>
        <v>0.9</v>
      </c>
      <c r="G102" s="5">
        <f t="shared" si="4"/>
        <v>1363.5410519896252</v>
      </c>
      <c r="H102" s="5">
        <f t="shared" si="5"/>
        <v>1.3635410519896252</v>
      </c>
      <c r="I102" s="6">
        <f t="shared" si="6"/>
        <v>0.64086429443512383</v>
      </c>
      <c r="J102" s="6">
        <f t="shared" si="7"/>
        <v>2.3498357462621207</v>
      </c>
    </row>
    <row r="103" spans="1:10" x14ac:dyDescent="0.35">
      <c r="A103" s="4">
        <v>102</v>
      </c>
      <c r="B103" s="7" t="s">
        <v>65</v>
      </c>
      <c r="C103" s="7" t="s">
        <v>66</v>
      </c>
      <c r="D103">
        <v>35</v>
      </c>
      <c r="E103" t="s">
        <v>17</v>
      </c>
      <c r="F103">
        <f>VLOOKUP(C103,[1]Sheet2!$A$1:$B$73,2,FALSE)</f>
        <v>0.9</v>
      </c>
      <c r="G103" s="5">
        <f t="shared" si="4"/>
        <v>1099.2423978263184</v>
      </c>
      <c r="H103" s="5">
        <f t="shared" si="5"/>
        <v>1.0992423978263184</v>
      </c>
      <c r="I103" s="6">
        <f t="shared" si="6"/>
        <v>0.51664392697836958</v>
      </c>
      <c r="J103" s="6">
        <f t="shared" si="7"/>
        <v>1.8943610655873551</v>
      </c>
    </row>
    <row r="104" spans="1:10" x14ac:dyDescent="0.35">
      <c r="A104" s="4">
        <v>103</v>
      </c>
      <c r="B104" s="7" t="s">
        <v>65</v>
      </c>
      <c r="C104" s="7" t="s">
        <v>66</v>
      </c>
      <c r="D104">
        <v>40</v>
      </c>
      <c r="E104" t="s">
        <v>17</v>
      </c>
      <c r="F104">
        <f>VLOOKUP(C104,[1]Sheet2!$A$1:$B$73,2,FALSE)</f>
        <v>0.9</v>
      </c>
      <c r="G104" s="5">
        <f t="shared" si="4"/>
        <v>1559.6687546450801</v>
      </c>
      <c r="H104" s="5">
        <f t="shared" si="5"/>
        <v>1.55966875464508</v>
      </c>
      <c r="I104" s="6">
        <f t="shared" si="6"/>
        <v>0.73304431468318754</v>
      </c>
      <c r="J104" s="6">
        <f t="shared" si="7"/>
        <v>2.6878291538383543</v>
      </c>
    </row>
    <row r="105" spans="1:10" x14ac:dyDescent="0.35">
      <c r="A105" s="4">
        <v>104</v>
      </c>
      <c r="B105" s="7" t="s">
        <v>67</v>
      </c>
      <c r="C105" s="7" t="s">
        <v>68</v>
      </c>
      <c r="D105">
        <v>42</v>
      </c>
      <c r="E105" t="s">
        <v>17</v>
      </c>
      <c r="F105">
        <f>VLOOKUP(C105,[1]Sheet2!$A$1:$B$73,2,FALSE)</f>
        <v>0.75</v>
      </c>
      <c r="G105" s="5">
        <f t="shared" si="4"/>
        <v>1476.9544082682082</v>
      </c>
      <c r="H105" s="5">
        <f t="shared" si="5"/>
        <v>1.4769544082682082</v>
      </c>
      <c r="I105" s="6">
        <f t="shared" si="6"/>
        <v>0.69416857188605785</v>
      </c>
      <c r="J105" s="6">
        <f t="shared" si="7"/>
        <v>2.5452847635822122</v>
      </c>
    </row>
    <row r="106" spans="1:10" x14ac:dyDescent="0.35">
      <c r="A106" s="4">
        <v>105</v>
      </c>
      <c r="B106" s="7" t="s">
        <v>69</v>
      </c>
      <c r="C106" s="7" t="s">
        <v>70</v>
      </c>
      <c r="D106">
        <v>31</v>
      </c>
      <c r="E106" t="s">
        <v>17</v>
      </c>
      <c r="F106">
        <v>0.6</v>
      </c>
      <c r="G106" s="5">
        <f t="shared" si="4"/>
        <v>533.22631433101185</v>
      </c>
      <c r="H106" s="5">
        <f t="shared" si="5"/>
        <v>0.53322631433101186</v>
      </c>
      <c r="I106" s="6">
        <f t="shared" si="6"/>
        <v>0.25061636773557555</v>
      </c>
      <c r="J106" s="6">
        <f t="shared" si="7"/>
        <v>0.91892668169711034</v>
      </c>
    </row>
    <row r="107" spans="1:10" x14ac:dyDescent="0.35">
      <c r="A107" s="4">
        <v>106</v>
      </c>
      <c r="B107" s="7" t="s">
        <v>71</v>
      </c>
      <c r="C107" s="7" t="s">
        <v>72</v>
      </c>
      <c r="D107">
        <v>28</v>
      </c>
      <c r="E107" t="s">
        <v>17</v>
      </c>
      <c r="F107">
        <v>0.67</v>
      </c>
      <c r="G107" s="5">
        <f t="shared" si="4"/>
        <v>456.05952435985188</v>
      </c>
      <c r="H107" s="5">
        <f t="shared" si="5"/>
        <v>0.45605952435985186</v>
      </c>
      <c r="I107" s="6">
        <f t="shared" si="6"/>
        <v>0.21434797644913037</v>
      </c>
      <c r="J107" s="6">
        <f t="shared" si="7"/>
        <v>0.78594258031347797</v>
      </c>
    </row>
    <row r="108" spans="1:10" x14ac:dyDescent="0.35">
      <c r="A108" s="4">
        <v>107</v>
      </c>
      <c r="B108" s="7" t="s">
        <v>73</v>
      </c>
      <c r="C108" s="7" t="s">
        <v>74</v>
      </c>
      <c r="D108">
        <v>28</v>
      </c>
      <c r="E108" t="s">
        <v>17</v>
      </c>
      <c r="F108">
        <f>VLOOKUP(C108,[1]Sheet2!$A$1:$B$73,2,FALSE)</f>
        <v>0.58799999999999997</v>
      </c>
      <c r="G108" s="5">
        <f t="shared" si="4"/>
        <v>400.24328406506402</v>
      </c>
      <c r="H108" s="5">
        <f t="shared" si="5"/>
        <v>0.40024328406506404</v>
      </c>
      <c r="I108" s="6">
        <f t="shared" si="6"/>
        <v>0.1881143435105801</v>
      </c>
      <c r="J108" s="6">
        <f t="shared" si="7"/>
        <v>0.68975259287212698</v>
      </c>
    </row>
    <row r="109" spans="1:10" x14ac:dyDescent="0.35">
      <c r="A109" s="4">
        <v>108</v>
      </c>
      <c r="B109" s="7" t="s">
        <v>73</v>
      </c>
      <c r="C109" s="7" t="s">
        <v>74</v>
      </c>
      <c r="D109">
        <v>36</v>
      </c>
      <c r="E109" t="s">
        <v>17</v>
      </c>
      <c r="F109">
        <f>VLOOKUP(C109,[1]Sheet2!$A$1:$B$73,2,FALSE)</f>
        <v>0.58799999999999997</v>
      </c>
      <c r="G109" s="5">
        <f t="shared" si="4"/>
        <v>773.18347468712238</v>
      </c>
      <c r="H109" s="5">
        <f t="shared" si="5"/>
        <v>0.77318347468712234</v>
      </c>
      <c r="I109" s="6">
        <f t="shared" si="6"/>
        <v>0.3633962331029475</v>
      </c>
      <c r="J109" s="6">
        <f t="shared" si="7"/>
        <v>1.3324528547108074</v>
      </c>
    </row>
    <row r="110" spans="1:10" x14ac:dyDescent="0.35">
      <c r="A110" s="4">
        <v>109</v>
      </c>
      <c r="B110" s="7" t="s">
        <v>73</v>
      </c>
      <c r="C110" s="7" t="s">
        <v>74</v>
      </c>
      <c r="D110">
        <v>16</v>
      </c>
      <c r="E110" t="s">
        <v>11</v>
      </c>
      <c r="F110">
        <f>VLOOKUP(C110,[1]Sheet2!$A$1:$B$73,2,FALSE)</f>
        <v>0.58799999999999997</v>
      </c>
      <c r="G110" s="5">
        <f t="shared" si="4"/>
        <v>92.37710882769332</v>
      </c>
      <c r="H110" s="5">
        <f t="shared" si="5"/>
        <v>9.2377108827693316E-2</v>
      </c>
      <c r="I110" s="6">
        <f t="shared" si="6"/>
        <v>4.3417241149015857E-2</v>
      </c>
      <c r="J110" s="6">
        <f t="shared" si="7"/>
        <v>0.15919655087972481</v>
      </c>
    </row>
    <row r="111" spans="1:10" x14ac:dyDescent="0.35">
      <c r="A111" s="4">
        <v>110</v>
      </c>
      <c r="B111" s="7" t="s">
        <v>73</v>
      </c>
      <c r="C111" s="7" t="s">
        <v>74</v>
      </c>
      <c r="D111">
        <v>12</v>
      </c>
      <c r="E111" t="s">
        <v>11</v>
      </c>
      <c r="F111">
        <f>VLOOKUP(C111,[1]Sheet2!$A$1:$B$73,2,FALSE)</f>
        <v>0.58799999999999997</v>
      </c>
      <c r="G111" s="5">
        <f t="shared" si="4"/>
        <v>43.47352700200377</v>
      </c>
      <c r="H111" s="5">
        <f t="shared" si="5"/>
        <v>4.347352700200377E-2</v>
      </c>
      <c r="I111" s="6">
        <f t="shared" si="6"/>
        <v>2.043255769094177E-2</v>
      </c>
      <c r="J111" s="6">
        <f t="shared" si="7"/>
        <v>7.4919378200119818E-2</v>
      </c>
    </row>
    <row r="112" spans="1:10" x14ac:dyDescent="0.35">
      <c r="A112" s="4">
        <v>111</v>
      </c>
      <c r="B112" s="7" t="s">
        <v>73</v>
      </c>
      <c r="C112" s="7" t="s">
        <v>74</v>
      </c>
      <c r="D112">
        <v>10</v>
      </c>
      <c r="E112" t="s">
        <v>11</v>
      </c>
      <c r="F112">
        <f>VLOOKUP(C112,[1]Sheet2!$A$1:$B$73,2,FALSE)</f>
        <v>0.58799999999999997</v>
      </c>
      <c r="G112" s="5">
        <f t="shared" si="4"/>
        <v>26.963111722861314</v>
      </c>
      <c r="H112" s="5">
        <f t="shared" si="5"/>
        <v>2.6963111722861314E-2</v>
      </c>
      <c r="I112" s="6">
        <f t="shared" si="6"/>
        <v>1.2672662509744817E-2</v>
      </c>
      <c r="J112" s="6">
        <f t="shared" si="7"/>
        <v>4.6466429202397658E-2</v>
      </c>
    </row>
    <row r="113" spans="1:10" x14ac:dyDescent="0.35">
      <c r="A113" s="4">
        <v>112</v>
      </c>
      <c r="B113" s="7" t="s">
        <v>73</v>
      </c>
      <c r="C113" s="7" t="s">
        <v>74</v>
      </c>
      <c r="D113">
        <v>8</v>
      </c>
      <c r="E113" t="s">
        <v>12</v>
      </c>
      <c r="F113">
        <f>VLOOKUP(C113,[1]Sheet2!$A$1:$B$73,2,FALSE)</f>
        <v>0.58799999999999997</v>
      </c>
      <c r="G113" s="5">
        <f t="shared" si="4"/>
        <v>15.026774775273969</v>
      </c>
      <c r="H113" s="5">
        <f t="shared" si="5"/>
        <v>1.502677477527397E-2</v>
      </c>
      <c r="I113" s="6">
        <f t="shared" si="6"/>
        <v>7.0625841443787652E-3</v>
      </c>
      <c r="J113" s="6">
        <f t="shared" si="7"/>
        <v>2.5896141862722138E-2</v>
      </c>
    </row>
    <row r="114" spans="1:10" x14ac:dyDescent="0.35">
      <c r="A114" s="4">
        <v>113</v>
      </c>
      <c r="B114" s="7" t="s">
        <v>73</v>
      </c>
      <c r="C114" s="7" t="s">
        <v>74</v>
      </c>
      <c r="D114">
        <v>7</v>
      </c>
      <c r="E114" t="s">
        <v>12</v>
      </c>
      <c r="F114">
        <f>VLOOKUP(C114,[1]Sheet2!$A$1:$B$73,2,FALSE)</f>
        <v>0.58799999999999997</v>
      </c>
      <c r="G114" s="5">
        <f t="shared" si="4"/>
        <v>10.590753893333638</v>
      </c>
      <c r="H114" s="5">
        <f t="shared" si="5"/>
        <v>1.0590753893333638E-2</v>
      </c>
      <c r="I114" s="6">
        <f t="shared" si="6"/>
        <v>4.977654329866809E-3</v>
      </c>
      <c r="J114" s="6">
        <f t="shared" si="7"/>
        <v>1.8251399209511632E-2</v>
      </c>
    </row>
    <row r="115" spans="1:10" x14ac:dyDescent="0.35">
      <c r="A115" s="4">
        <v>114</v>
      </c>
      <c r="B115" s="7" t="s">
        <v>73</v>
      </c>
      <c r="C115" s="7" t="s">
        <v>74</v>
      </c>
      <c r="D115">
        <v>25</v>
      </c>
      <c r="E115" t="s">
        <v>17</v>
      </c>
      <c r="F115">
        <f>VLOOKUP(C115,[1]Sheet2!$A$1:$B$73,2,FALSE)</f>
        <v>0.58799999999999997</v>
      </c>
      <c r="G115" s="5">
        <f t="shared" si="4"/>
        <v>297.42182486197157</v>
      </c>
      <c r="H115" s="5">
        <f t="shared" si="5"/>
        <v>0.29742182486197155</v>
      </c>
      <c r="I115" s="6">
        <f t="shared" si="6"/>
        <v>0.13978825768512662</v>
      </c>
      <c r="J115" s="6">
        <f t="shared" si="7"/>
        <v>0.51255694484546421</v>
      </c>
    </row>
    <row r="116" spans="1:10" x14ac:dyDescent="0.35">
      <c r="A116" s="4">
        <v>115</v>
      </c>
      <c r="B116" s="7" t="s">
        <v>73</v>
      </c>
      <c r="C116" s="7" t="s">
        <v>74</v>
      </c>
      <c r="D116">
        <v>8</v>
      </c>
      <c r="E116" t="s">
        <v>12</v>
      </c>
      <c r="F116">
        <f>VLOOKUP(C116,[1]Sheet2!$A$1:$B$73,2,FALSE)</f>
        <v>0.58799999999999997</v>
      </c>
      <c r="G116" s="5">
        <f t="shared" si="4"/>
        <v>15.026774775273969</v>
      </c>
      <c r="H116" s="5">
        <f t="shared" si="5"/>
        <v>1.502677477527397E-2</v>
      </c>
      <c r="I116" s="6">
        <f t="shared" si="6"/>
        <v>7.0625841443787652E-3</v>
      </c>
      <c r="J116" s="6">
        <f t="shared" si="7"/>
        <v>2.5896141862722138E-2</v>
      </c>
    </row>
    <row r="117" spans="1:10" x14ac:dyDescent="0.35">
      <c r="A117" s="4">
        <v>116</v>
      </c>
      <c r="B117" s="7" t="s">
        <v>73</v>
      </c>
      <c r="C117" s="7" t="s">
        <v>74</v>
      </c>
      <c r="D117">
        <v>9</v>
      </c>
      <c r="E117" t="s">
        <v>12</v>
      </c>
      <c r="F117">
        <f>VLOOKUP(C117,[1]Sheet2!$A$1:$B$73,2,FALSE)</f>
        <v>0.58799999999999997</v>
      </c>
      <c r="G117" s="5">
        <f t="shared" si="4"/>
        <v>20.459046337109136</v>
      </c>
      <c r="H117" s="5">
        <f t="shared" si="5"/>
        <v>2.0459046337109137E-2</v>
      </c>
      <c r="I117" s="6">
        <f t="shared" si="6"/>
        <v>9.6157517784412946E-3</v>
      </c>
      <c r="J117" s="6">
        <f t="shared" si="7"/>
        <v>3.5257756520951415E-2</v>
      </c>
    </row>
    <row r="118" spans="1:10" x14ac:dyDescent="0.35">
      <c r="A118" s="4">
        <v>117</v>
      </c>
      <c r="B118" s="7" t="s">
        <v>75</v>
      </c>
      <c r="C118" s="7" t="s">
        <v>76</v>
      </c>
      <c r="D118">
        <v>28</v>
      </c>
      <c r="E118" t="s">
        <v>17</v>
      </c>
      <c r="F118">
        <f>VLOOKUP(C118,[1]Sheet2!$A$1:$B$73,2,FALSE)</f>
        <v>0.7</v>
      </c>
      <c r="G118" s="5">
        <f t="shared" si="4"/>
        <v>476.48010007745717</v>
      </c>
      <c r="H118" s="5">
        <f t="shared" si="5"/>
        <v>0.47648010007745717</v>
      </c>
      <c r="I118" s="6">
        <f t="shared" si="6"/>
        <v>0.22394564703640485</v>
      </c>
      <c r="J118" s="6">
        <f t="shared" si="7"/>
        <v>0.82113403913348437</v>
      </c>
    </row>
    <row r="119" spans="1:10" x14ac:dyDescent="0.35">
      <c r="A119" s="4">
        <v>118</v>
      </c>
      <c r="B119" s="7" t="s">
        <v>77</v>
      </c>
      <c r="C119" s="7" t="s">
        <v>78</v>
      </c>
      <c r="D119">
        <v>30</v>
      </c>
      <c r="E119" t="s">
        <v>17</v>
      </c>
      <c r="F119">
        <f>VLOOKUP(C119,[1]Sheet2!$A$1:$B$73,2,FALSE)</f>
        <v>0.64</v>
      </c>
      <c r="G119" s="5">
        <f t="shared" si="4"/>
        <v>521.95173615598617</v>
      </c>
      <c r="H119" s="5">
        <f t="shared" si="5"/>
        <v>0.52195173615598622</v>
      </c>
      <c r="I119" s="6">
        <f t="shared" si="6"/>
        <v>0.24531731599331352</v>
      </c>
      <c r="J119" s="6">
        <f t="shared" si="7"/>
        <v>0.89949682530881625</v>
      </c>
    </row>
    <row r="120" spans="1:10" x14ac:dyDescent="0.35">
      <c r="A120" s="4">
        <v>119</v>
      </c>
      <c r="B120" s="7" t="s">
        <v>75</v>
      </c>
      <c r="C120" s="7" t="s">
        <v>76</v>
      </c>
      <c r="D120">
        <v>25</v>
      </c>
      <c r="E120" t="s">
        <v>17</v>
      </c>
      <c r="F120">
        <f>VLOOKUP(C120,[1]Sheet2!$A$1:$B$73,2,FALSE)</f>
        <v>0.7</v>
      </c>
      <c r="G120" s="5">
        <f t="shared" si="4"/>
        <v>354.07360102615667</v>
      </c>
      <c r="H120" s="5">
        <f t="shared" si="5"/>
        <v>0.35407360102615665</v>
      </c>
      <c r="I120" s="6">
        <f t="shared" si="6"/>
        <v>0.16641459248229362</v>
      </c>
      <c r="J120" s="6">
        <f t="shared" si="7"/>
        <v>0.61018683910174321</v>
      </c>
    </row>
    <row r="121" spans="1:10" x14ac:dyDescent="0.35">
      <c r="A121" s="4">
        <v>120</v>
      </c>
      <c r="B121" s="7" t="s">
        <v>79</v>
      </c>
      <c r="C121" s="7" t="s">
        <v>80</v>
      </c>
      <c r="D121">
        <v>30</v>
      </c>
      <c r="E121" t="s">
        <v>17</v>
      </c>
      <c r="F121">
        <f>VLOOKUP(C121,[1]Sheet2!$A$1:$B$73,2,FALSE)</f>
        <v>0.87</v>
      </c>
      <c r="G121" s="5">
        <f t="shared" si="4"/>
        <v>709.52814133704362</v>
      </c>
      <c r="H121" s="5">
        <f t="shared" si="5"/>
        <v>0.70952814133704367</v>
      </c>
      <c r="I121" s="6">
        <f t="shared" si="6"/>
        <v>0.33347822642841052</v>
      </c>
      <c r="J121" s="6">
        <f t="shared" si="7"/>
        <v>1.2227534969041718</v>
      </c>
    </row>
    <row r="122" spans="1:10" x14ac:dyDescent="0.35">
      <c r="A122" s="4">
        <v>121</v>
      </c>
      <c r="B122" s="7" t="s">
        <v>81</v>
      </c>
      <c r="C122" s="8" t="s">
        <v>82</v>
      </c>
      <c r="D122">
        <v>28</v>
      </c>
      <c r="E122" t="s">
        <v>17</v>
      </c>
      <c r="F122">
        <f>VLOOKUP(C122,[1]Sheet2!$A$1:$B$73,2,FALSE)</f>
        <v>0.54</v>
      </c>
      <c r="G122" s="5">
        <f t="shared" si="4"/>
        <v>367.57036291689553</v>
      </c>
      <c r="H122" s="5">
        <f t="shared" si="5"/>
        <v>0.36757036291689554</v>
      </c>
      <c r="I122" s="6">
        <f t="shared" si="6"/>
        <v>0.17275807057094089</v>
      </c>
      <c r="J122" s="6">
        <f t="shared" si="7"/>
        <v>0.63344625876011662</v>
      </c>
    </row>
    <row r="123" spans="1:10" x14ac:dyDescent="0.35">
      <c r="A123" s="4">
        <v>122</v>
      </c>
      <c r="B123" s="7" t="s">
        <v>79</v>
      </c>
      <c r="C123" s="7" t="s">
        <v>80</v>
      </c>
      <c r="D123">
        <v>28</v>
      </c>
      <c r="E123" t="s">
        <v>17</v>
      </c>
      <c r="F123">
        <f>VLOOKUP(C123,[1]Sheet2!$A$1:$B$73,2,FALSE)</f>
        <v>0.87</v>
      </c>
      <c r="G123" s="5">
        <f t="shared" si="4"/>
        <v>592.19669581055393</v>
      </c>
      <c r="H123" s="5">
        <f t="shared" si="5"/>
        <v>0.5921966958105539</v>
      </c>
      <c r="I123" s="6">
        <f t="shared" si="6"/>
        <v>0.27833244703096033</v>
      </c>
      <c r="J123" s="6">
        <f t="shared" si="7"/>
        <v>1.0205523057801877</v>
      </c>
    </row>
    <row r="124" spans="1:10" x14ac:dyDescent="0.35">
      <c r="A124" s="4">
        <v>123</v>
      </c>
      <c r="B124" s="7" t="s">
        <v>81</v>
      </c>
      <c r="C124" s="8" t="s">
        <v>82</v>
      </c>
      <c r="D124">
        <v>31</v>
      </c>
      <c r="E124" t="s">
        <v>17</v>
      </c>
      <c r="F124">
        <f>VLOOKUP(C124,[1]Sheet2!$A$1:$B$73,2,FALSE)</f>
        <v>0.54</v>
      </c>
      <c r="G124" s="5">
        <f t="shared" si="4"/>
        <v>479.90368289791064</v>
      </c>
      <c r="H124" s="5">
        <f t="shared" si="5"/>
        <v>0.47990368289791063</v>
      </c>
      <c r="I124" s="6">
        <f t="shared" si="6"/>
        <v>0.22555473096201797</v>
      </c>
      <c r="J124" s="6">
        <f t="shared" si="7"/>
        <v>0.82703401352739925</v>
      </c>
    </row>
    <row r="125" spans="1:10" x14ac:dyDescent="0.35">
      <c r="A125" s="4">
        <v>124</v>
      </c>
      <c r="B125" s="7" t="s">
        <v>79</v>
      </c>
      <c r="C125" s="7" t="s">
        <v>80</v>
      </c>
      <c r="D125">
        <v>27</v>
      </c>
      <c r="E125" t="s">
        <v>17</v>
      </c>
      <c r="F125">
        <f>VLOOKUP(C125,[1]Sheet2!$A$1:$B$73,2,FALSE)</f>
        <v>0.87</v>
      </c>
      <c r="G125" s="5">
        <f t="shared" si="4"/>
        <v>538.37514268761242</v>
      </c>
      <c r="H125" s="5">
        <f t="shared" si="5"/>
        <v>0.53837514268761244</v>
      </c>
      <c r="I125" s="6">
        <f t="shared" si="6"/>
        <v>0.25303631706317781</v>
      </c>
      <c r="J125" s="6">
        <f t="shared" si="7"/>
        <v>0.92779982923165194</v>
      </c>
    </row>
    <row r="126" spans="1:10" x14ac:dyDescent="0.35">
      <c r="A126" s="4">
        <v>125</v>
      </c>
      <c r="B126" s="7" t="s">
        <v>35</v>
      </c>
      <c r="C126" s="7" t="s">
        <v>36</v>
      </c>
      <c r="D126">
        <v>29</v>
      </c>
      <c r="E126" t="s">
        <v>17</v>
      </c>
      <c r="F126">
        <f>VLOOKUP(C126,[1]Sheet2!$A$1:$B$73,2,FALSE)</f>
        <v>0.59</v>
      </c>
      <c r="G126" s="5">
        <f t="shared" si="4"/>
        <v>440.27847273176985</v>
      </c>
      <c r="H126" s="5">
        <f t="shared" si="5"/>
        <v>0.44027847273176984</v>
      </c>
      <c r="I126" s="6">
        <f t="shared" si="6"/>
        <v>0.20693088218393182</v>
      </c>
      <c r="J126" s="6">
        <f t="shared" si="7"/>
        <v>0.75874656800774998</v>
      </c>
    </row>
    <row r="127" spans="1:10" x14ac:dyDescent="0.35">
      <c r="A127" s="4">
        <v>126</v>
      </c>
      <c r="B127" s="7" t="s">
        <v>44</v>
      </c>
      <c r="C127" s="7" t="s">
        <v>45</v>
      </c>
      <c r="D127">
        <v>31</v>
      </c>
      <c r="E127" t="s">
        <v>17</v>
      </c>
      <c r="F127">
        <f>VLOOKUP(C127,[1]Sheet2!$A$1:$B$73,2,FALSE)</f>
        <v>0.97</v>
      </c>
      <c r="G127" s="5">
        <f t="shared" si="4"/>
        <v>862.04920816846914</v>
      </c>
      <c r="H127" s="5">
        <f t="shared" si="5"/>
        <v>0.86204920816846908</v>
      </c>
      <c r="I127" s="6">
        <f t="shared" si="6"/>
        <v>0.40516312783918046</v>
      </c>
      <c r="J127" s="6">
        <f t="shared" si="7"/>
        <v>1.4855981354103283</v>
      </c>
    </row>
    <row r="128" spans="1:10" x14ac:dyDescent="0.35">
      <c r="A128" s="4">
        <v>127</v>
      </c>
      <c r="B128" s="7" t="s">
        <v>44</v>
      </c>
      <c r="C128" s="7" t="s">
        <v>45</v>
      </c>
      <c r="D128">
        <v>34</v>
      </c>
      <c r="E128" t="s">
        <v>17</v>
      </c>
      <c r="F128">
        <f>VLOOKUP(C128,[1]Sheet2!$A$1:$B$73,2,FALSE)</f>
        <v>0.97</v>
      </c>
      <c r="G128" s="5">
        <f t="shared" si="4"/>
        <v>1098.0931492129318</v>
      </c>
      <c r="H128" s="5">
        <f t="shared" si="5"/>
        <v>1.0980931492129318</v>
      </c>
      <c r="I128" s="6">
        <f t="shared" si="6"/>
        <v>0.51610378013007785</v>
      </c>
      <c r="J128" s="6">
        <f t="shared" si="7"/>
        <v>1.8923805271436187</v>
      </c>
    </row>
    <row r="129" spans="1:10" x14ac:dyDescent="0.35">
      <c r="A129" s="4">
        <v>128</v>
      </c>
      <c r="B129" s="7" t="s">
        <v>55</v>
      </c>
      <c r="C129" s="7" t="s">
        <v>56</v>
      </c>
      <c r="D129">
        <v>35</v>
      </c>
      <c r="E129" t="s">
        <v>17</v>
      </c>
      <c r="F129">
        <f>VLOOKUP(C129,[1]Sheet2!$A$1:$B$73,2,FALSE)</f>
        <v>0.9</v>
      </c>
      <c r="G129" s="5">
        <f t="shared" si="4"/>
        <v>1099.2423978263184</v>
      </c>
      <c r="H129" s="5">
        <f t="shared" si="5"/>
        <v>1.0992423978263184</v>
      </c>
      <c r="I129" s="6">
        <f t="shared" si="6"/>
        <v>0.51664392697836958</v>
      </c>
      <c r="J129" s="6">
        <f t="shared" si="7"/>
        <v>1.8943610655873551</v>
      </c>
    </row>
    <row r="130" spans="1:10" x14ac:dyDescent="0.35">
      <c r="A130" s="4">
        <v>129</v>
      </c>
      <c r="B130" s="7" t="s">
        <v>83</v>
      </c>
      <c r="C130" s="7" t="s">
        <v>84</v>
      </c>
      <c r="D130">
        <v>27</v>
      </c>
      <c r="E130" t="s">
        <v>17</v>
      </c>
      <c r="F130">
        <f>VLOOKUP(C130,[1]Sheet2!$A$1:$B$73,2,FALSE)</f>
        <v>0.79</v>
      </c>
      <c r="G130" s="5">
        <f t="shared" ref="G130:G193" si="8">0.11*F130*(D130^2.62)</f>
        <v>488.86938244047576</v>
      </c>
      <c r="H130" s="5">
        <f t="shared" si="5"/>
        <v>0.48886938244047579</v>
      </c>
      <c r="I130" s="6">
        <f t="shared" si="6"/>
        <v>0.22976860974702359</v>
      </c>
      <c r="J130" s="6">
        <f t="shared" si="7"/>
        <v>0.84248490240575313</v>
      </c>
    </row>
    <row r="131" spans="1:10" x14ac:dyDescent="0.35">
      <c r="A131" s="4">
        <v>130</v>
      </c>
      <c r="B131" s="7" t="s">
        <v>55</v>
      </c>
      <c r="C131" s="7" t="s">
        <v>56</v>
      </c>
      <c r="D131">
        <v>17</v>
      </c>
      <c r="E131" t="s">
        <v>11</v>
      </c>
      <c r="F131">
        <f>VLOOKUP(C131,[1]Sheet2!$A$1:$B$73,2,FALSE)</f>
        <v>0.9</v>
      </c>
      <c r="G131" s="5">
        <f t="shared" si="8"/>
        <v>165.7339070387047</v>
      </c>
      <c r="H131" s="5">
        <f t="shared" ref="H131:H194" si="9">G131/1000</f>
        <v>0.16573390703870469</v>
      </c>
      <c r="I131" s="6">
        <f t="shared" ref="I131:I194" si="10">H131*0.47</f>
        <v>7.7894936308191207E-2</v>
      </c>
      <c r="J131" s="6">
        <f t="shared" ref="J131:J194" si="11">I131*(44/12)</f>
        <v>0.28561476646336775</v>
      </c>
    </row>
    <row r="132" spans="1:10" x14ac:dyDescent="0.35">
      <c r="A132" s="4">
        <v>131</v>
      </c>
      <c r="B132" s="7" t="s">
        <v>73</v>
      </c>
      <c r="C132" s="7" t="s">
        <v>74</v>
      </c>
      <c r="D132">
        <v>18</v>
      </c>
      <c r="E132" t="s">
        <v>11</v>
      </c>
      <c r="F132">
        <f>VLOOKUP(C132,[1]Sheet2!$A$1:$B$73,2,FALSE)</f>
        <v>0.58799999999999997</v>
      </c>
      <c r="G132" s="5">
        <f t="shared" si="8"/>
        <v>125.77200219329765</v>
      </c>
      <c r="H132" s="5">
        <f t="shared" si="9"/>
        <v>0.12577200219329765</v>
      </c>
      <c r="I132" s="6">
        <f t="shared" si="10"/>
        <v>5.9112841030849891E-2</v>
      </c>
      <c r="J132" s="6">
        <f t="shared" si="11"/>
        <v>0.21674708377978294</v>
      </c>
    </row>
    <row r="133" spans="1:10" x14ac:dyDescent="0.35">
      <c r="A133" s="4">
        <v>132</v>
      </c>
      <c r="B133" s="7" t="s">
        <v>85</v>
      </c>
      <c r="C133" s="7" t="s">
        <v>86</v>
      </c>
      <c r="D133">
        <v>21</v>
      </c>
      <c r="E133" t="s">
        <v>17</v>
      </c>
      <c r="F133">
        <f>VLOOKUP(C133,[1]Sheet2!$A$1:$B$73,2,FALSE)</f>
        <v>0.64</v>
      </c>
      <c r="G133" s="5">
        <f t="shared" si="8"/>
        <v>205.01574293961531</v>
      </c>
      <c r="H133" s="5">
        <f t="shared" si="9"/>
        <v>0.2050157429396153</v>
      </c>
      <c r="I133" s="6">
        <f t="shared" si="10"/>
        <v>9.6357399181619188E-2</v>
      </c>
      <c r="J133" s="6">
        <f t="shared" si="11"/>
        <v>0.35331046366593699</v>
      </c>
    </row>
    <row r="134" spans="1:10" x14ac:dyDescent="0.35">
      <c r="A134" s="4">
        <v>133</v>
      </c>
      <c r="B134" s="7" t="s">
        <v>85</v>
      </c>
      <c r="C134" s="7" t="s">
        <v>86</v>
      </c>
      <c r="D134">
        <v>18</v>
      </c>
      <c r="E134" t="s">
        <v>11</v>
      </c>
      <c r="F134">
        <f>VLOOKUP(C134,[1]Sheet2!$A$1:$B$73,2,FALSE)</f>
        <v>0.64</v>
      </c>
      <c r="G134" s="5">
        <f t="shared" si="8"/>
        <v>136.89469626481377</v>
      </c>
      <c r="H134" s="5">
        <f t="shared" si="9"/>
        <v>0.13689469626481376</v>
      </c>
      <c r="I134" s="6">
        <f t="shared" si="10"/>
        <v>6.4340507244462469E-2</v>
      </c>
      <c r="J134" s="6">
        <f t="shared" si="11"/>
        <v>0.2359151932296957</v>
      </c>
    </row>
    <row r="135" spans="1:10" x14ac:dyDescent="0.35">
      <c r="A135" s="4">
        <v>134</v>
      </c>
      <c r="B135" s="7" t="s">
        <v>87</v>
      </c>
      <c r="C135" s="7" t="s">
        <v>32</v>
      </c>
      <c r="D135">
        <v>16</v>
      </c>
      <c r="E135" t="s">
        <v>11</v>
      </c>
      <c r="F135">
        <v>0.42</v>
      </c>
      <c r="G135" s="5">
        <f t="shared" si="8"/>
        <v>65.983649162638088</v>
      </c>
      <c r="H135" s="5">
        <f t="shared" si="9"/>
        <v>6.5983649162638089E-2</v>
      </c>
      <c r="I135" s="6">
        <f t="shared" si="10"/>
        <v>3.1012315106439901E-2</v>
      </c>
      <c r="J135" s="6">
        <f t="shared" si="11"/>
        <v>0.1137118220569463</v>
      </c>
    </row>
    <row r="136" spans="1:10" x14ac:dyDescent="0.35">
      <c r="A136" s="4">
        <v>135</v>
      </c>
      <c r="B136" s="7" t="s">
        <v>29</v>
      </c>
      <c r="C136" s="8" t="s">
        <v>30</v>
      </c>
      <c r="D136">
        <v>21</v>
      </c>
      <c r="E136" t="s">
        <v>17</v>
      </c>
      <c r="F136">
        <f>VLOOKUP(C136,[1]Sheet2!$A$1:$B$73,2,FALSE)</f>
        <v>0.56000000000000005</v>
      </c>
      <c r="G136" s="5">
        <f t="shared" si="8"/>
        <v>179.38877507216341</v>
      </c>
      <c r="H136" s="5">
        <f t="shared" si="9"/>
        <v>0.17938877507216341</v>
      </c>
      <c r="I136" s="6">
        <f t="shared" si="10"/>
        <v>8.4312724283916798E-2</v>
      </c>
      <c r="J136" s="6">
        <f t="shared" si="11"/>
        <v>0.3091466557076949</v>
      </c>
    </row>
    <row r="137" spans="1:10" x14ac:dyDescent="0.35">
      <c r="A137" s="4">
        <v>136</v>
      </c>
      <c r="B137" s="7" t="s">
        <v>29</v>
      </c>
      <c r="C137" s="8" t="s">
        <v>30</v>
      </c>
      <c r="D137">
        <v>25</v>
      </c>
      <c r="E137" t="s">
        <v>17</v>
      </c>
      <c r="F137">
        <f>VLOOKUP(C137,[1]Sheet2!$A$1:$B$73,2,FALSE)</f>
        <v>0.56000000000000005</v>
      </c>
      <c r="G137" s="5">
        <f t="shared" si="8"/>
        <v>283.25888082092536</v>
      </c>
      <c r="H137" s="5">
        <f t="shared" si="9"/>
        <v>0.28325888082092537</v>
      </c>
      <c r="I137" s="6">
        <f t="shared" si="10"/>
        <v>0.13313167398583492</v>
      </c>
      <c r="J137" s="6">
        <f t="shared" si="11"/>
        <v>0.48814947128139469</v>
      </c>
    </row>
    <row r="138" spans="1:10" x14ac:dyDescent="0.35">
      <c r="A138" s="4">
        <v>137</v>
      </c>
      <c r="B138" s="7" t="s">
        <v>29</v>
      </c>
      <c r="C138" s="8" t="s">
        <v>30</v>
      </c>
      <c r="D138">
        <v>23</v>
      </c>
      <c r="E138" t="s">
        <v>17</v>
      </c>
      <c r="F138">
        <f>VLOOKUP(C138,[1]Sheet2!$A$1:$B$73,2,FALSE)</f>
        <v>0.56000000000000005</v>
      </c>
      <c r="G138" s="5">
        <f t="shared" si="8"/>
        <v>227.67096195508711</v>
      </c>
      <c r="H138" s="5">
        <f t="shared" si="9"/>
        <v>0.2276709619550871</v>
      </c>
      <c r="I138" s="6">
        <f t="shared" si="10"/>
        <v>0.10700535211889094</v>
      </c>
      <c r="J138" s="6">
        <f t="shared" si="11"/>
        <v>0.39235295776926676</v>
      </c>
    </row>
    <row r="139" spans="1:10" x14ac:dyDescent="0.35">
      <c r="A139" s="4">
        <v>138</v>
      </c>
      <c r="B139" s="7" t="s">
        <v>29</v>
      </c>
      <c r="C139" s="8" t="s">
        <v>30</v>
      </c>
      <c r="D139">
        <v>28</v>
      </c>
      <c r="E139" t="s">
        <v>17</v>
      </c>
      <c r="F139">
        <f>VLOOKUP(C139,[1]Sheet2!$A$1:$B$73,2,FALSE)</f>
        <v>0.56000000000000005</v>
      </c>
      <c r="G139" s="5">
        <f t="shared" si="8"/>
        <v>381.1840800619658</v>
      </c>
      <c r="H139" s="5">
        <f t="shared" si="9"/>
        <v>0.3811840800619658</v>
      </c>
      <c r="I139" s="6">
        <f t="shared" si="10"/>
        <v>0.17915651762912391</v>
      </c>
      <c r="J139" s="6">
        <f t="shared" si="11"/>
        <v>0.65690723130678763</v>
      </c>
    </row>
    <row r="140" spans="1:10" x14ac:dyDescent="0.35">
      <c r="A140" s="4">
        <v>139</v>
      </c>
      <c r="B140" s="7" t="s">
        <v>29</v>
      </c>
      <c r="C140" s="8" t="s">
        <v>30</v>
      </c>
      <c r="D140">
        <v>31</v>
      </c>
      <c r="E140" t="s">
        <v>17</v>
      </c>
      <c r="F140">
        <f>VLOOKUP(C140,[1]Sheet2!$A$1:$B$73,2,FALSE)</f>
        <v>0.56000000000000005</v>
      </c>
      <c r="G140" s="5">
        <f t="shared" si="8"/>
        <v>497.67789337561112</v>
      </c>
      <c r="H140" s="5">
        <f t="shared" si="9"/>
        <v>0.49767789337561114</v>
      </c>
      <c r="I140" s="6">
        <f t="shared" si="10"/>
        <v>0.23390860988653722</v>
      </c>
      <c r="J140" s="6">
        <f t="shared" si="11"/>
        <v>0.85766490291730313</v>
      </c>
    </row>
    <row r="141" spans="1:10" x14ac:dyDescent="0.35">
      <c r="A141" s="4">
        <v>140</v>
      </c>
      <c r="B141" s="7" t="s">
        <v>29</v>
      </c>
      <c r="C141" s="8" t="s">
        <v>30</v>
      </c>
      <c r="D141">
        <v>24</v>
      </c>
      <c r="E141" t="s">
        <v>17</v>
      </c>
      <c r="F141">
        <f>VLOOKUP(C141,[1]Sheet2!$A$1:$B$73,2,FALSE)</f>
        <v>0.56000000000000005</v>
      </c>
      <c r="G141" s="5">
        <f t="shared" si="8"/>
        <v>254.52717978070061</v>
      </c>
      <c r="H141" s="5">
        <f t="shared" si="9"/>
        <v>0.25452717978070061</v>
      </c>
      <c r="I141" s="6">
        <f t="shared" si="10"/>
        <v>0.11962777449692928</v>
      </c>
      <c r="J141" s="6">
        <f t="shared" si="11"/>
        <v>0.43863517315540734</v>
      </c>
    </row>
    <row r="142" spans="1:10" x14ac:dyDescent="0.35">
      <c r="A142" s="4">
        <v>141</v>
      </c>
      <c r="B142" s="7" t="s">
        <v>35</v>
      </c>
      <c r="C142" s="7" t="s">
        <v>36</v>
      </c>
      <c r="D142">
        <v>22</v>
      </c>
      <c r="E142" t="s">
        <v>17</v>
      </c>
      <c r="F142">
        <f>VLOOKUP(C142,[1]Sheet2!$A$1:$B$73,2,FALSE)</f>
        <v>0.59</v>
      </c>
      <c r="G142" s="5">
        <f t="shared" si="8"/>
        <v>213.49716897845656</v>
      </c>
      <c r="H142" s="5">
        <f t="shared" si="9"/>
        <v>0.21349716897845655</v>
      </c>
      <c r="I142" s="6">
        <f t="shared" si="10"/>
        <v>0.10034366941987458</v>
      </c>
      <c r="J142" s="6">
        <f t="shared" si="11"/>
        <v>0.36792678787287342</v>
      </c>
    </row>
    <row r="143" spans="1:10" x14ac:dyDescent="0.35">
      <c r="A143" s="4">
        <v>142</v>
      </c>
      <c r="B143" s="7" t="s">
        <v>35</v>
      </c>
      <c r="C143" s="7" t="s">
        <v>36</v>
      </c>
      <c r="D143">
        <v>28</v>
      </c>
      <c r="E143" t="s">
        <v>17</v>
      </c>
      <c r="F143">
        <f>VLOOKUP(C143,[1]Sheet2!$A$1:$B$73,2,FALSE)</f>
        <v>0.59</v>
      </c>
      <c r="G143" s="5">
        <f t="shared" si="8"/>
        <v>401.60465577957103</v>
      </c>
      <c r="H143" s="5">
        <f t="shared" si="9"/>
        <v>0.40160465577957105</v>
      </c>
      <c r="I143" s="6">
        <f t="shared" si="10"/>
        <v>0.18875418821639839</v>
      </c>
      <c r="J143" s="6">
        <f t="shared" si="11"/>
        <v>0.69209869012679404</v>
      </c>
    </row>
    <row r="144" spans="1:10" x14ac:dyDescent="0.35">
      <c r="A144" s="4">
        <v>143</v>
      </c>
      <c r="B144" s="7" t="s">
        <v>35</v>
      </c>
      <c r="C144" s="7" t="s">
        <v>36</v>
      </c>
      <c r="D144">
        <v>27</v>
      </c>
      <c r="E144" t="s">
        <v>17</v>
      </c>
      <c r="F144">
        <f>VLOOKUP(C144,[1]Sheet2!$A$1:$B$73,2,FALSE)</f>
        <v>0.59</v>
      </c>
      <c r="G144" s="5">
        <f t="shared" si="8"/>
        <v>365.10498182263376</v>
      </c>
      <c r="H144" s="5">
        <f t="shared" si="9"/>
        <v>0.36510498182263373</v>
      </c>
      <c r="I144" s="6">
        <f t="shared" si="10"/>
        <v>0.17159934145663785</v>
      </c>
      <c r="J144" s="6">
        <f t="shared" si="11"/>
        <v>0.62919758534100545</v>
      </c>
    </row>
    <row r="145" spans="1:10" x14ac:dyDescent="0.35">
      <c r="A145" s="4">
        <v>144</v>
      </c>
      <c r="B145" s="7" t="s">
        <v>35</v>
      </c>
      <c r="C145" s="7" t="s">
        <v>36</v>
      </c>
      <c r="D145">
        <v>31</v>
      </c>
      <c r="E145" t="s">
        <v>17</v>
      </c>
      <c r="F145">
        <f>VLOOKUP(C145,[1]Sheet2!$A$1:$B$73,2,FALSE)</f>
        <v>0.59</v>
      </c>
      <c r="G145" s="5">
        <f t="shared" si="8"/>
        <v>524.33920909216158</v>
      </c>
      <c r="H145" s="5">
        <f t="shared" si="9"/>
        <v>0.52433920909216158</v>
      </c>
      <c r="I145" s="6">
        <f t="shared" si="10"/>
        <v>0.24643942827331594</v>
      </c>
      <c r="J145" s="6">
        <f t="shared" si="11"/>
        <v>0.9036112370021584</v>
      </c>
    </row>
    <row r="146" spans="1:10" x14ac:dyDescent="0.35">
      <c r="A146" s="4">
        <v>145</v>
      </c>
      <c r="B146" s="7" t="s">
        <v>35</v>
      </c>
      <c r="C146" s="7" t="s">
        <v>36</v>
      </c>
      <c r="D146">
        <v>34</v>
      </c>
      <c r="E146" t="s">
        <v>17</v>
      </c>
      <c r="F146">
        <f>VLOOKUP(C146,[1]Sheet2!$A$1:$B$73,2,FALSE)</f>
        <v>0.59</v>
      </c>
      <c r="G146" s="5">
        <f t="shared" si="8"/>
        <v>667.9123278717833</v>
      </c>
      <c r="H146" s="5">
        <f t="shared" si="9"/>
        <v>0.66791232787178334</v>
      </c>
      <c r="I146" s="6">
        <f t="shared" si="10"/>
        <v>0.31391879409973816</v>
      </c>
      <c r="J146" s="6">
        <f t="shared" si="11"/>
        <v>1.1510355783657065</v>
      </c>
    </row>
    <row r="147" spans="1:10" x14ac:dyDescent="0.35">
      <c r="A147" s="4">
        <v>146</v>
      </c>
      <c r="B147" s="7" t="s">
        <v>35</v>
      </c>
      <c r="C147" s="7" t="s">
        <v>36</v>
      </c>
      <c r="D147">
        <v>28</v>
      </c>
      <c r="E147" t="s">
        <v>17</v>
      </c>
      <c r="F147">
        <f>VLOOKUP(C147,[1]Sheet2!$A$1:$B$73,2,FALSE)</f>
        <v>0.59</v>
      </c>
      <c r="G147" s="5">
        <f t="shared" si="8"/>
        <v>401.60465577957103</v>
      </c>
      <c r="H147" s="5">
        <f t="shared" si="9"/>
        <v>0.40160465577957105</v>
      </c>
      <c r="I147" s="6">
        <f t="shared" si="10"/>
        <v>0.18875418821639839</v>
      </c>
      <c r="J147" s="6">
        <f t="shared" si="11"/>
        <v>0.69209869012679404</v>
      </c>
    </row>
    <row r="148" spans="1:10" x14ac:dyDescent="0.35">
      <c r="A148" s="4">
        <v>147</v>
      </c>
      <c r="B148" s="7" t="s">
        <v>35</v>
      </c>
      <c r="C148" s="7" t="s">
        <v>36</v>
      </c>
      <c r="D148">
        <v>27</v>
      </c>
      <c r="E148" t="s">
        <v>17</v>
      </c>
      <c r="F148">
        <f>VLOOKUP(C148,[1]Sheet2!$A$1:$B$73,2,FALSE)</f>
        <v>0.59</v>
      </c>
      <c r="G148" s="5">
        <f t="shared" si="8"/>
        <v>365.10498182263376</v>
      </c>
      <c r="H148" s="5">
        <f t="shared" si="9"/>
        <v>0.36510498182263373</v>
      </c>
      <c r="I148" s="6">
        <f t="shared" si="10"/>
        <v>0.17159934145663785</v>
      </c>
      <c r="J148" s="6">
        <f t="shared" si="11"/>
        <v>0.62919758534100545</v>
      </c>
    </row>
    <row r="149" spans="1:10" x14ac:dyDescent="0.35">
      <c r="A149" s="4">
        <v>148</v>
      </c>
      <c r="B149" s="7" t="s">
        <v>55</v>
      </c>
      <c r="C149" s="7" t="s">
        <v>56</v>
      </c>
      <c r="D149">
        <v>18</v>
      </c>
      <c r="E149" t="s">
        <v>11</v>
      </c>
      <c r="F149">
        <f>VLOOKUP(C149,[1]Sheet2!$A$1:$B$73,2,FALSE)</f>
        <v>0.9</v>
      </c>
      <c r="G149" s="5">
        <f t="shared" si="8"/>
        <v>192.50816662239438</v>
      </c>
      <c r="H149" s="5">
        <f t="shared" si="9"/>
        <v>0.19250816662239439</v>
      </c>
      <c r="I149" s="6">
        <f t="shared" si="10"/>
        <v>9.0478838312525359E-2</v>
      </c>
      <c r="J149" s="6">
        <f t="shared" si="11"/>
        <v>0.33175574047925965</v>
      </c>
    </row>
    <row r="150" spans="1:10" x14ac:dyDescent="0.35">
      <c r="A150" s="4">
        <v>149</v>
      </c>
      <c r="B150" s="7" t="s">
        <v>59</v>
      </c>
      <c r="C150" s="7" t="s">
        <v>60</v>
      </c>
      <c r="D150">
        <v>17</v>
      </c>
      <c r="E150" t="s">
        <v>11</v>
      </c>
      <c r="F150">
        <f>VLOOKUP(C150,[1]Sheet2!$A$1:$B$73,2,FALSE)</f>
        <v>0.81</v>
      </c>
      <c r="G150" s="5">
        <f t="shared" si="8"/>
        <v>149.16051633483426</v>
      </c>
      <c r="H150" s="5">
        <f t="shared" si="9"/>
        <v>0.14916051633483426</v>
      </c>
      <c r="I150" s="6">
        <f t="shared" si="10"/>
        <v>7.0105442677372107E-2</v>
      </c>
      <c r="J150" s="6">
        <f t="shared" si="11"/>
        <v>0.25705328981703107</v>
      </c>
    </row>
    <row r="151" spans="1:10" x14ac:dyDescent="0.35">
      <c r="A151" s="4">
        <v>150</v>
      </c>
      <c r="B151" s="7" t="s">
        <v>73</v>
      </c>
      <c r="C151" s="7" t="s">
        <v>74</v>
      </c>
      <c r="D151">
        <v>15</v>
      </c>
      <c r="E151" t="s">
        <v>11</v>
      </c>
      <c r="F151">
        <f>VLOOKUP(C151,[1]Sheet2!$A$1:$B$73,2,FALSE)</f>
        <v>0.58799999999999997</v>
      </c>
      <c r="G151" s="5">
        <f t="shared" si="8"/>
        <v>78.006197808370501</v>
      </c>
      <c r="H151" s="5">
        <f t="shared" si="9"/>
        <v>7.8006197808370495E-2</v>
      </c>
      <c r="I151" s="6">
        <f t="shared" si="10"/>
        <v>3.6662912969934132E-2</v>
      </c>
      <c r="J151" s="6">
        <f t="shared" si="11"/>
        <v>0.13443068088975849</v>
      </c>
    </row>
    <row r="152" spans="1:10" x14ac:dyDescent="0.35">
      <c r="A152" s="4">
        <v>151</v>
      </c>
      <c r="B152" s="7" t="s">
        <v>73</v>
      </c>
      <c r="C152" s="7" t="s">
        <v>74</v>
      </c>
      <c r="D152">
        <v>17</v>
      </c>
      <c r="E152" t="s">
        <v>11</v>
      </c>
      <c r="F152">
        <f>VLOOKUP(C152,[1]Sheet2!$A$1:$B$73,2,FALSE)</f>
        <v>0.58799999999999997</v>
      </c>
      <c r="G152" s="5">
        <f t="shared" si="8"/>
        <v>108.27948593195373</v>
      </c>
      <c r="H152" s="5">
        <f t="shared" si="9"/>
        <v>0.10827948593195373</v>
      </c>
      <c r="I152" s="6">
        <f t="shared" si="10"/>
        <v>5.0891358388018254E-2</v>
      </c>
      <c r="J152" s="6">
        <f t="shared" si="11"/>
        <v>0.18660164742273358</v>
      </c>
    </row>
    <row r="153" spans="1:10" x14ac:dyDescent="0.35">
      <c r="A153" s="4">
        <v>152</v>
      </c>
      <c r="B153" s="7" t="s">
        <v>73</v>
      </c>
      <c r="C153" s="7" t="s">
        <v>74</v>
      </c>
      <c r="D153">
        <v>19</v>
      </c>
      <c r="E153" t="s">
        <v>11</v>
      </c>
      <c r="F153">
        <f>VLOOKUP(C153,[1]Sheet2!$A$1:$B$73,2,FALSE)</f>
        <v>0.58799999999999997</v>
      </c>
      <c r="G153" s="5">
        <f t="shared" si="8"/>
        <v>144.91203180967292</v>
      </c>
      <c r="H153" s="5">
        <f t="shared" si="9"/>
        <v>0.14491203180967294</v>
      </c>
      <c r="I153" s="6">
        <f t="shared" si="10"/>
        <v>6.8108654950546271E-2</v>
      </c>
      <c r="J153" s="6">
        <f t="shared" si="11"/>
        <v>0.24973173481866964</v>
      </c>
    </row>
    <row r="154" spans="1:10" x14ac:dyDescent="0.35">
      <c r="A154" s="4">
        <v>153</v>
      </c>
      <c r="B154" s="7" t="s">
        <v>73</v>
      </c>
      <c r="C154" s="7" t="s">
        <v>74</v>
      </c>
      <c r="D154">
        <v>20</v>
      </c>
      <c r="E154" t="s">
        <v>11</v>
      </c>
      <c r="F154">
        <f>VLOOKUP(C154,[1]Sheet2!$A$1:$B$73,2,FALSE)</f>
        <v>0.58799999999999997</v>
      </c>
      <c r="G154" s="5">
        <f t="shared" si="8"/>
        <v>165.7557488686455</v>
      </c>
      <c r="H154" s="5">
        <f t="shared" si="9"/>
        <v>0.1657557488686455</v>
      </c>
      <c r="I154" s="6">
        <f t="shared" si="10"/>
        <v>7.790520196826338E-2</v>
      </c>
      <c r="J154" s="6">
        <f t="shared" si="11"/>
        <v>0.28565240721696572</v>
      </c>
    </row>
    <row r="155" spans="1:10" x14ac:dyDescent="0.35">
      <c r="A155" s="4">
        <v>154</v>
      </c>
      <c r="B155" s="7" t="s">
        <v>73</v>
      </c>
      <c r="C155" s="7" t="s">
        <v>74</v>
      </c>
      <c r="D155">
        <v>21</v>
      </c>
      <c r="E155" t="s">
        <v>17</v>
      </c>
      <c r="F155">
        <f>VLOOKUP(C155,[1]Sheet2!$A$1:$B$73,2,FALSE)</f>
        <v>0.58799999999999997</v>
      </c>
      <c r="G155" s="5">
        <f t="shared" si="8"/>
        <v>188.35821382577157</v>
      </c>
      <c r="H155" s="5">
        <f t="shared" si="9"/>
        <v>0.18835821382577156</v>
      </c>
      <c r="I155" s="6">
        <f t="shared" si="10"/>
        <v>8.8528360498112621E-2</v>
      </c>
      <c r="J155" s="6">
        <f t="shared" si="11"/>
        <v>0.32460398849307959</v>
      </c>
    </row>
    <row r="156" spans="1:10" x14ac:dyDescent="0.35">
      <c r="A156" s="4">
        <v>155</v>
      </c>
      <c r="B156" s="7" t="s">
        <v>88</v>
      </c>
      <c r="C156" s="7" t="s">
        <v>89</v>
      </c>
      <c r="D156">
        <v>22</v>
      </c>
      <c r="E156" t="s">
        <v>17</v>
      </c>
      <c r="F156">
        <f>VLOOKUP(C156,[1]Sheet2!$A$1:$B$73,2,FALSE)</f>
        <v>0.65300000000000002</v>
      </c>
      <c r="G156" s="5">
        <f t="shared" si="8"/>
        <v>236.29432431005449</v>
      </c>
      <c r="H156" s="5">
        <f t="shared" si="9"/>
        <v>0.23629432431005448</v>
      </c>
      <c r="I156" s="6">
        <f t="shared" si="10"/>
        <v>0.1110583324257256</v>
      </c>
      <c r="J156" s="6">
        <f t="shared" si="11"/>
        <v>0.40721388556099386</v>
      </c>
    </row>
    <row r="157" spans="1:10" x14ac:dyDescent="0.35">
      <c r="A157" s="4">
        <v>156</v>
      </c>
      <c r="B157" s="7" t="s">
        <v>88</v>
      </c>
      <c r="C157" s="7" t="s">
        <v>89</v>
      </c>
      <c r="D157">
        <v>24</v>
      </c>
      <c r="E157" t="s">
        <v>17</v>
      </c>
      <c r="F157">
        <f>VLOOKUP(C157,[1]Sheet2!$A$1:$B$73,2,FALSE)</f>
        <v>0.65300000000000002</v>
      </c>
      <c r="G157" s="5">
        <f t="shared" si="8"/>
        <v>296.79687213713834</v>
      </c>
      <c r="H157" s="5">
        <f t="shared" si="9"/>
        <v>0.29679687213713835</v>
      </c>
      <c r="I157" s="6">
        <f t="shared" si="10"/>
        <v>0.13949452990445502</v>
      </c>
      <c r="J157" s="6">
        <f t="shared" si="11"/>
        <v>0.5114799429830017</v>
      </c>
    </row>
    <row r="158" spans="1:10" x14ac:dyDescent="0.35">
      <c r="A158" s="4">
        <v>157</v>
      </c>
      <c r="B158" s="7" t="s">
        <v>90</v>
      </c>
      <c r="C158" s="7" t="s">
        <v>91</v>
      </c>
      <c r="D158">
        <v>18</v>
      </c>
      <c r="E158" t="s">
        <v>11</v>
      </c>
      <c r="F158">
        <f>VLOOKUP(C158,[1]Sheet2!$A$1:$B$73,2,FALSE)</f>
        <v>0.3</v>
      </c>
      <c r="G158" s="5">
        <f t="shared" si="8"/>
        <v>64.169388874131457</v>
      </c>
      <c r="H158" s="5">
        <f t="shared" si="9"/>
        <v>6.4169388874131456E-2</v>
      </c>
      <c r="I158" s="6">
        <f t="shared" si="10"/>
        <v>3.0159612770841782E-2</v>
      </c>
      <c r="J158" s="6">
        <f t="shared" si="11"/>
        <v>0.11058524682641986</v>
      </c>
    </row>
    <row r="159" spans="1:10" x14ac:dyDescent="0.35">
      <c r="A159" s="4">
        <v>158</v>
      </c>
      <c r="B159" s="7" t="s">
        <v>90</v>
      </c>
      <c r="C159" s="7" t="s">
        <v>91</v>
      </c>
      <c r="D159">
        <v>19</v>
      </c>
      <c r="E159" t="s">
        <v>11</v>
      </c>
      <c r="F159">
        <f>VLOOKUP(C159,[1]Sheet2!$A$1:$B$73,2,FALSE)</f>
        <v>0.3</v>
      </c>
      <c r="G159" s="5">
        <f t="shared" si="8"/>
        <v>73.934710106975984</v>
      </c>
      <c r="H159" s="5">
        <f t="shared" si="9"/>
        <v>7.3934710106975984E-2</v>
      </c>
      <c r="I159" s="6">
        <f t="shared" si="10"/>
        <v>3.4749313750278711E-2</v>
      </c>
      <c r="J159" s="6">
        <f t="shared" si="11"/>
        <v>0.12741415041768861</v>
      </c>
    </row>
    <row r="160" spans="1:10" x14ac:dyDescent="0.35">
      <c r="A160" s="4">
        <v>159</v>
      </c>
      <c r="B160" s="7" t="s">
        <v>90</v>
      </c>
      <c r="C160" s="7" t="s">
        <v>91</v>
      </c>
      <c r="D160">
        <v>13</v>
      </c>
      <c r="E160" t="s">
        <v>11</v>
      </c>
      <c r="F160">
        <f>VLOOKUP(C160,[1]Sheet2!$A$1:$B$73,2,FALSE)</f>
        <v>0.3</v>
      </c>
      <c r="G160" s="5">
        <f t="shared" si="8"/>
        <v>27.35555453298949</v>
      </c>
      <c r="H160" s="5">
        <f t="shared" si="9"/>
        <v>2.735555453298949E-2</v>
      </c>
      <c r="I160" s="6">
        <f t="shared" si="10"/>
        <v>1.2857110630505059E-2</v>
      </c>
      <c r="J160" s="6">
        <f t="shared" si="11"/>
        <v>4.7142738978518547E-2</v>
      </c>
    </row>
    <row r="161" spans="1:10" x14ac:dyDescent="0.35">
      <c r="A161" s="4">
        <v>160</v>
      </c>
      <c r="B161" s="7" t="s">
        <v>90</v>
      </c>
      <c r="C161" s="7" t="s">
        <v>91</v>
      </c>
      <c r="D161">
        <v>11</v>
      </c>
      <c r="E161" t="s">
        <v>11</v>
      </c>
      <c r="F161">
        <f>VLOOKUP(C161,[1]Sheet2!$A$1:$B$73,2,FALSE)</f>
        <v>0.3</v>
      </c>
      <c r="G161" s="5">
        <f t="shared" si="8"/>
        <v>17.658864534535454</v>
      </c>
      <c r="H161" s="5">
        <f t="shared" si="9"/>
        <v>1.7658864534535454E-2</v>
      </c>
      <c r="I161" s="6">
        <f t="shared" si="10"/>
        <v>8.2996663312316626E-3</v>
      </c>
      <c r="J161" s="6">
        <f t="shared" si="11"/>
        <v>3.0432109881182761E-2</v>
      </c>
    </row>
    <row r="162" spans="1:10" x14ac:dyDescent="0.35">
      <c r="A162" s="4">
        <v>161</v>
      </c>
      <c r="B162" s="7" t="s">
        <v>90</v>
      </c>
      <c r="C162" s="7" t="s">
        <v>91</v>
      </c>
      <c r="D162">
        <v>7</v>
      </c>
      <c r="E162" t="s">
        <v>12</v>
      </c>
      <c r="F162">
        <f>VLOOKUP(C162,[1]Sheet2!$A$1:$B$73,2,FALSE)</f>
        <v>0.3</v>
      </c>
      <c r="G162" s="5">
        <f t="shared" si="8"/>
        <v>5.4034458639457341</v>
      </c>
      <c r="H162" s="5">
        <f t="shared" si="9"/>
        <v>5.4034458639457342E-3</v>
      </c>
      <c r="I162" s="6">
        <f t="shared" si="10"/>
        <v>2.5396195560544949E-3</v>
      </c>
      <c r="J162" s="6">
        <f t="shared" si="11"/>
        <v>9.3119383721998149E-3</v>
      </c>
    </row>
    <row r="163" spans="1:10" x14ac:dyDescent="0.35">
      <c r="A163" s="4">
        <v>162</v>
      </c>
      <c r="B163" s="7" t="s">
        <v>39</v>
      </c>
      <c r="C163" s="7" t="s">
        <v>14</v>
      </c>
      <c r="D163">
        <v>8</v>
      </c>
      <c r="E163" t="s">
        <v>12</v>
      </c>
      <c r="F163">
        <f>VLOOKUP(C163,[1]Sheet2!$A$1:$B$73,2,FALSE)</f>
        <v>0.59</v>
      </c>
      <c r="G163" s="5">
        <f t="shared" si="8"/>
        <v>15.077886254101433</v>
      </c>
      <c r="H163" s="5">
        <f t="shared" si="9"/>
        <v>1.5077886254101433E-2</v>
      </c>
      <c r="I163" s="6">
        <f t="shared" si="10"/>
        <v>7.0866065394276732E-3</v>
      </c>
      <c r="J163" s="6">
        <f t="shared" si="11"/>
        <v>2.5984223977901469E-2</v>
      </c>
    </row>
    <row r="164" spans="1:10" x14ac:dyDescent="0.35">
      <c r="A164" s="4">
        <v>163</v>
      </c>
      <c r="B164" s="7" t="s">
        <v>39</v>
      </c>
      <c r="C164" s="7" t="s">
        <v>14</v>
      </c>
      <c r="D164">
        <v>11</v>
      </c>
      <c r="E164" t="s">
        <v>11</v>
      </c>
      <c r="F164">
        <f>VLOOKUP(C164,[1]Sheet2!$A$1:$B$73,2,FALSE)</f>
        <v>0.59</v>
      </c>
      <c r="G164" s="5">
        <f t="shared" si="8"/>
        <v>34.729100251253058</v>
      </c>
      <c r="H164" s="5">
        <f t="shared" si="9"/>
        <v>3.4729100251253059E-2</v>
      </c>
      <c r="I164" s="6">
        <f t="shared" si="10"/>
        <v>1.6322677118088935E-2</v>
      </c>
      <c r="J164" s="6">
        <f t="shared" si="11"/>
        <v>5.9849816099659427E-2</v>
      </c>
    </row>
    <row r="165" spans="1:10" x14ac:dyDescent="0.35">
      <c r="A165" s="4">
        <v>164</v>
      </c>
      <c r="B165" s="7" t="s">
        <v>92</v>
      </c>
      <c r="C165" s="7" t="s">
        <v>93</v>
      </c>
      <c r="D165">
        <v>39</v>
      </c>
      <c r="E165" t="s">
        <v>17</v>
      </c>
      <c r="F165">
        <v>0.4</v>
      </c>
      <c r="G165" s="5">
        <f t="shared" si="8"/>
        <v>648.69708577160884</v>
      </c>
      <c r="H165" s="5">
        <f t="shared" si="9"/>
        <v>0.64869708577160889</v>
      </c>
      <c r="I165" s="6">
        <f t="shared" si="10"/>
        <v>0.30488763031265614</v>
      </c>
      <c r="J165" s="6">
        <f t="shared" si="11"/>
        <v>1.1179213111464059</v>
      </c>
    </row>
    <row r="166" spans="1:10" x14ac:dyDescent="0.35">
      <c r="A166" s="4">
        <v>165</v>
      </c>
      <c r="B166" s="7" t="s">
        <v>29</v>
      </c>
      <c r="C166" s="8" t="s">
        <v>30</v>
      </c>
      <c r="D166">
        <v>21</v>
      </c>
      <c r="E166" t="s">
        <v>17</v>
      </c>
      <c r="F166">
        <f>VLOOKUP(C166,[1]Sheet2!$A$1:$B$73,2,FALSE)</f>
        <v>0.56000000000000005</v>
      </c>
      <c r="G166" s="5">
        <f t="shared" si="8"/>
        <v>179.38877507216341</v>
      </c>
      <c r="H166" s="5">
        <f t="shared" si="9"/>
        <v>0.17938877507216341</v>
      </c>
      <c r="I166" s="6">
        <f t="shared" si="10"/>
        <v>8.4312724283916798E-2</v>
      </c>
      <c r="J166" s="6">
        <f t="shared" si="11"/>
        <v>0.3091466557076949</v>
      </c>
    </row>
    <row r="167" spans="1:10" x14ac:dyDescent="0.35">
      <c r="A167" s="4">
        <v>166</v>
      </c>
      <c r="B167" s="7" t="s">
        <v>29</v>
      </c>
      <c r="C167" s="8" t="s">
        <v>30</v>
      </c>
      <c r="D167">
        <v>18</v>
      </c>
      <c r="E167" t="s">
        <v>11</v>
      </c>
      <c r="F167">
        <f>VLOOKUP(C167,[1]Sheet2!$A$1:$B$73,2,FALSE)</f>
        <v>0.56000000000000005</v>
      </c>
      <c r="G167" s="5">
        <f t="shared" si="8"/>
        <v>119.78285923171207</v>
      </c>
      <c r="H167" s="5">
        <f t="shared" si="9"/>
        <v>0.11978285923171207</v>
      </c>
      <c r="I167" s="6">
        <f t="shared" si="10"/>
        <v>5.6297943838904671E-2</v>
      </c>
      <c r="J167" s="6">
        <f t="shared" si="11"/>
        <v>0.2064257940759838</v>
      </c>
    </row>
    <row r="168" spans="1:10" x14ac:dyDescent="0.35">
      <c r="A168" s="4">
        <v>167</v>
      </c>
      <c r="B168" s="7" t="s">
        <v>40</v>
      </c>
      <c r="C168" s="7" t="s">
        <v>41</v>
      </c>
      <c r="D168">
        <v>32</v>
      </c>
      <c r="E168" t="s">
        <v>17</v>
      </c>
      <c r="F168">
        <f>VLOOKUP(C168,[1]Sheet2!$A$1:$B$73,2,FALSE)</f>
        <v>0.45</v>
      </c>
      <c r="G168" s="5">
        <f t="shared" si="8"/>
        <v>434.60842615231712</v>
      </c>
      <c r="H168" s="5">
        <f t="shared" si="9"/>
        <v>0.4346084261523171</v>
      </c>
      <c r="I168" s="6">
        <f t="shared" si="10"/>
        <v>0.20426596029158903</v>
      </c>
      <c r="J168" s="6">
        <f t="shared" si="11"/>
        <v>0.74897518773582639</v>
      </c>
    </row>
    <row r="169" spans="1:10" x14ac:dyDescent="0.35">
      <c r="A169" s="4">
        <v>168</v>
      </c>
      <c r="B169" s="7" t="s">
        <v>55</v>
      </c>
      <c r="C169" s="7" t="s">
        <v>56</v>
      </c>
      <c r="D169">
        <v>18</v>
      </c>
      <c r="E169" t="s">
        <v>11</v>
      </c>
      <c r="F169">
        <f>VLOOKUP(C169,[1]Sheet2!$A$1:$B$73,2,FALSE)</f>
        <v>0.9</v>
      </c>
      <c r="G169" s="5">
        <f t="shared" si="8"/>
        <v>192.50816662239438</v>
      </c>
      <c r="H169" s="5">
        <f t="shared" si="9"/>
        <v>0.19250816662239439</v>
      </c>
      <c r="I169" s="6">
        <f t="shared" si="10"/>
        <v>9.0478838312525359E-2</v>
      </c>
      <c r="J169" s="6">
        <f t="shared" si="11"/>
        <v>0.33175574047925965</v>
      </c>
    </row>
    <row r="170" spans="1:10" x14ac:dyDescent="0.35">
      <c r="A170" s="4">
        <v>169</v>
      </c>
      <c r="B170" s="7" t="s">
        <v>55</v>
      </c>
      <c r="C170" s="7" t="s">
        <v>56</v>
      </c>
      <c r="D170">
        <v>17</v>
      </c>
      <c r="E170" t="s">
        <v>11</v>
      </c>
      <c r="F170">
        <f>VLOOKUP(C170,[1]Sheet2!$A$1:$B$73,2,FALSE)</f>
        <v>0.9</v>
      </c>
      <c r="G170" s="5">
        <f t="shared" si="8"/>
        <v>165.7339070387047</v>
      </c>
      <c r="H170" s="5">
        <f t="shared" si="9"/>
        <v>0.16573390703870469</v>
      </c>
      <c r="I170" s="6">
        <f t="shared" si="10"/>
        <v>7.7894936308191207E-2</v>
      </c>
      <c r="J170" s="6">
        <f t="shared" si="11"/>
        <v>0.28561476646336775</v>
      </c>
    </row>
    <row r="171" spans="1:10" x14ac:dyDescent="0.35">
      <c r="A171" s="4">
        <v>170</v>
      </c>
      <c r="B171" s="7" t="s">
        <v>57</v>
      </c>
      <c r="C171" s="7" t="s">
        <v>58</v>
      </c>
      <c r="D171">
        <v>17</v>
      </c>
      <c r="E171" t="s">
        <v>11</v>
      </c>
      <c r="F171">
        <f>VLOOKUP(C171,[1]Sheet2!$A$1:$B$73,2,FALSE)</f>
        <v>0.5</v>
      </c>
      <c r="G171" s="5">
        <f t="shared" si="8"/>
        <v>92.074392799280389</v>
      </c>
      <c r="H171" s="5">
        <f t="shared" si="9"/>
        <v>9.2074392799280383E-2</v>
      </c>
      <c r="I171" s="6">
        <f t="shared" si="10"/>
        <v>4.3274964615661778E-2</v>
      </c>
      <c r="J171" s="6">
        <f t="shared" si="11"/>
        <v>0.15867487025742652</v>
      </c>
    </row>
    <row r="172" spans="1:10" x14ac:dyDescent="0.35">
      <c r="A172" s="4">
        <v>171</v>
      </c>
      <c r="B172" s="7" t="s">
        <v>57</v>
      </c>
      <c r="C172" s="7" t="s">
        <v>58</v>
      </c>
      <c r="D172">
        <v>15</v>
      </c>
      <c r="E172" t="s">
        <v>11</v>
      </c>
      <c r="F172">
        <f>VLOOKUP(C172,[1]Sheet2!$A$1:$B$73,2,FALSE)</f>
        <v>0.5</v>
      </c>
      <c r="G172" s="5">
        <f t="shared" si="8"/>
        <v>66.331800857457907</v>
      </c>
      <c r="H172" s="5">
        <f t="shared" si="9"/>
        <v>6.6331800857457907E-2</v>
      </c>
      <c r="I172" s="6">
        <f t="shared" si="10"/>
        <v>3.1175946403005216E-2</v>
      </c>
      <c r="J172" s="6">
        <f t="shared" si="11"/>
        <v>0.11431180347768578</v>
      </c>
    </row>
    <row r="173" spans="1:10" x14ac:dyDescent="0.35">
      <c r="A173" s="4">
        <v>172</v>
      </c>
      <c r="B173" s="7" t="s">
        <v>57</v>
      </c>
      <c r="C173" s="7" t="s">
        <v>58</v>
      </c>
      <c r="D173">
        <v>15</v>
      </c>
      <c r="E173" t="s">
        <v>11</v>
      </c>
      <c r="F173">
        <f>VLOOKUP(C173,[1]Sheet2!$A$1:$B$73,2,FALSE)</f>
        <v>0.5</v>
      </c>
      <c r="G173" s="5">
        <f t="shared" si="8"/>
        <v>66.331800857457907</v>
      </c>
      <c r="H173" s="5">
        <f t="shared" si="9"/>
        <v>6.6331800857457907E-2</v>
      </c>
      <c r="I173" s="6">
        <f t="shared" si="10"/>
        <v>3.1175946403005216E-2</v>
      </c>
      <c r="J173" s="6">
        <f t="shared" si="11"/>
        <v>0.11431180347768578</v>
      </c>
    </row>
    <row r="174" spans="1:10" x14ac:dyDescent="0.35">
      <c r="A174" s="4">
        <v>173</v>
      </c>
      <c r="B174" s="7" t="s">
        <v>63</v>
      </c>
      <c r="C174" s="7" t="s">
        <v>64</v>
      </c>
      <c r="D174">
        <v>18</v>
      </c>
      <c r="E174" t="s">
        <v>11</v>
      </c>
      <c r="F174">
        <v>0.4</v>
      </c>
      <c r="G174" s="5">
        <f t="shared" si="8"/>
        <v>85.559185165508623</v>
      </c>
      <c r="H174" s="5">
        <f t="shared" si="9"/>
        <v>8.5559185165508617E-2</v>
      </c>
      <c r="I174" s="6">
        <f t="shared" si="10"/>
        <v>4.0212817027789047E-2</v>
      </c>
      <c r="J174" s="6">
        <f t="shared" si="11"/>
        <v>0.14744699576855982</v>
      </c>
    </row>
    <row r="175" spans="1:10" x14ac:dyDescent="0.35">
      <c r="A175" s="4">
        <v>174</v>
      </c>
      <c r="B175" s="7" t="s">
        <v>65</v>
      </c>
      <c r="C175" s="7" t="s">
        <v>66</v>
      </c>
      <c r="D175">
        <v>17</v>
      </c>
      <c r="E175" t="s">
        <v>11</v>
      </c>
      <c r="F175">
        <f>VLOOKUP(C175,[1]Sheet2!$A$1:$B$73,2,FALSE)</f>
        <v>0.9</v>
      </c>
      <c r="G175" s="5">
        <f t="shared" si="8"/>
        <v>165.7339070387047</v>
      </c>
      <c r="H175" s="5">
        <f t="shared" si="9"/>
        <v>0.16573390703870469</v>
      </c>
      <c r="I175" s="6">
        <f t="shared" si="10"/>
        <v>7.7894936308191207E-2</v>
      </c>
      <c r="J175" s="6">
        <f t="shared" si="11"/>
        <v>0.28561476646336775</v>
      </c>
    </row>
    <row r="176" spans="1:10" x14ac:dyDescent="0.35">
      <c r="A176" s="4">
        <v>175</v>
      </c>
      <c r="B176" s="7" t="s">
        <v>65</v>
      </c>
      <c r="C176" s="7" t="s">
        <v>66</v>
      </c>
      <c r="D176">
        <v>17</v>
      </c>
      <c r="E176" t="s">
        <v>11</v>
      </c>
      <c r="F176">
        <f>VLOOKUP(C176,[1]Sheet2!$A$1:$B$73,2,FALSE)</f>
        <v>0.9</v>
      </c>
      <c r="G176" s="5">
        <f t="shared" si="8"/>
        <v>165.7339070387047</v>
      </c>
      <c r="H176" s="5">
        <f t="shared" si="9"/>
        <v>0.16573390703870469</v>
      </c>
      <c r="I176" s="6">
        <f t="shared" si="10"/>
        <v>7.7894936308191207E-2</v>
      </c>
      <c r="J176" s="6">
        <f t="shared" si="11"/>
        <v>0.28561476646336775</v>
      </c>
    </row>
    <row r="177" spans="1:10" x14ac:dyDescent="0.35">
      <c r="A177" s="4">
        <v>176</v>
      </c>
      <c r="B177" s="7" t="s">
        <v>65</v>
      </c>
      <c r="C177" s="7" t="s">
        <v>66</v>
      </c>
      <c r="D177">
        <v>18</v>
      </c>
      <c r="E177" t="s">
        <v>11</v>
      </c>
      <c r="F177">
        <f>VLOOKUP(C177,[1]Sheet2!$A$1:$B$73,2,FALSE)</f>
        <v>0.9</v>
      </c>
      <c r="G177" s="5">
        <f t="shared" si="8"/>
        <v>192.50816662239438</v>
      </c>
      <c r="H177" s="5">
        <f t="shared" si="9"/>
        <v>0.19250816662239439</v>
      </c>
      <c r="I177" s="6">
        <f t="shared" si="10"/>
        <v>9.0478838312525359E-2</v>
      </c>
      <c r="J177" s="6">
        <f t="shared" si="11"/>
        <v>0.33175574047925965</v>
      </c>
    </row>
    <row r="178" spans="1:10" x14ac:dyDescent="0.35">
      <c r="A178" s="4">
        <v>177</v>
      </c>
      <c r="B178" s="7" t="s">
        <v>65</v>
      </c>
      <c r="C178" s="7" t="s">
        <v>66</v>
      </c>
      <c r="D178">
        <v>29</v>
      </c>
      <c r="E178" t="s">
        <v>17</v>
      </c>
      <c r="F178">
        <f>VLOOKUP(C178,[1]Sheet2!$A$1:$B$73,2,FALSE)</f>
        <v>0.9</v>
      </c>
      <c r="G178" s="5">
        <f t="shared" si="8"/>
        <v>671.61122959083548</v>
      </c>
      <c r="H178" s="5">
        <f t="shared" si="9"/>
        <v>0.67161122959083552</v>
      </c>
      <c r="I178" s="6">
        <f t="shared" si="10"/>
        <v>0.31565727790769266</v>
      </c>
      <c r="J178" s="6">
        <f t="shared" si="11"/>
        <v>1.1574100189948731</v>
      </c>
    </row>
    <row r="179" spans="1:10" x14ac:dyDescent="0.35">
      <c r="A179" s="4">
        <v>178</v>
      </c>
      <c r="B179" s="7" t="s">
        <v>65</v>
      </c>
      <c r="C179" s="7" t="s">
        <v>66</v>
      </c>
      <c r="D179">
        <v>15</v>
      </c>
      <c r="E179" t="s">
        <v>11</v>
      </c>
      <c r="F179">
        <f>VLOOKUP(C179,[1]Sheet2!$A$1:$B$73,2,FALSE)</f>
        <v>0.9</v>
      </c>
      <c r="G179" s="5">
        <f t="shared" si="8"/>
        <v>119.39724154342424</v>
      </c>
      <c r="H179" s="5">
        <f t="shared" si="9"/>
        <v>0.11939724154342424</v>
      </c>
      <c r="I179" s="6">
        <f t="shared" si="10"/>
        <v>5.6116703525409387E-2</v>
      </c>
      <c r="J179" s="6">
        <f t="shared" si="11"/>
        <v>0.20576124625983441</v>
      </c>
    </row>
    <row r="180" spans="1:10" x14ac:dyDescent="0.35">
      <c r="A180" s="4">
        <v>179</v>
      </c>
      <c r="B180" s="7" t="s">
        <v>65</v>
      </c>
      <c r="C180" s="7" t="s">
        <v>66</v>
      </c>
      <c r="D180">
        <v>12</v>
      </c>
      <c r="E180" t="s">
        <v>11</v>
      </c>
      <c r="F180">
        <f>VLOOKUP(C180,[1]Sheet2!$A$1:$B$73,2,FALSE)</f>
        <v>0.9</v>
      </c>
      <c r="G180" s="5">
        <f t="shared" si="8"/>
        <v>66.541112758169035</v>
      </c>
      <c r="H180" s="5">
        <f t="shared" si="9"/>
        <v>6.6541112758169041E-2</v>
      </c>
      <c r="I180" s="6">
        <f t="shared" si="10"/>
        <v>3.1274322996339449E-2</v>
      </c>
      <c r="J180" s="6">
        <f t="shared" si="11"/>
        <v>0.11467251765324464</v>
      </c>
    </row>
    <row r="181" spans="1:10" x14ac:dyDescent="0.35">
      <c r="A181" s="4">
        <v>180</v>
      </c>
      <c r="B181" s="7" t="s">
        <v>65</v>
      </c>
      <c r="C181" s="7" t="s">
        <v>66</v>
      </c>
      <c r="D181">
        <v>8</v>
      </c>
      <c r="E181" t="s">
        <v>12</v>
      </c>
      <c r="F181">
        <f>VLOOKUP(C181,[1]Sheet2!$A$1:$B$73,2,FALSE)</f>
        <v>0.9</v>
      </c>
      <c r="G181" s="5">
        <f t="shared" si="8"/>
        <v>23.000165472358116</v>
      </c>
      <c r="H181" s="5">
        <f t="shared" si="9"/>
        <v>2.3000165472358117E-2</v>
      </c>
      <c r="I181" s="6">
        <f t="shared" si="10"/>
        <v>1.0810077772008314E-2</v>
      </c>
      <c r="J181" s="6">
        <f t="shared" si="11"/>
        <v>3.9636951830697154E-2</v>
      </c>
    </row>
    <row r="182" spans="1:10" x14ac:dyDescent="0.35">
      <c r="A182" s="4">
        <v>181</v>
      </c>
      <c r="B182" s="7" t="s">
        <v>81</v>
      </c>
      <c r="C182" s="8" t="s">
        <v>82</v>
      </c>
      <c r="D182">
        <v>7</v>
      </c>
      <c r="E182" t="s">
        <v>12</v>
      </c>
      <c r="F182">
        <f>VLOOKUP(C182,[1]Sheet2!$A$1:$B$73,2,FALSE)</f>
        <v>0.54</v>
      </c>
      <c r="G182" s="5">
        <f t="shared" si="8"/>
        <v>9.7262025551023203</v>
      </c>
      <c r="H182" s="5">
        <f t="shared" si="9"/>
        <v>9.7262025551023198E-3</v>
      </c>
      <c r="I182" s="9">
        <f t="shared" si="10"/>
        <v>4.5713152008980901E-3</v>
      </c>
      <c r="J182" s="6">
        <f t="shared" si="11"/>
        <v>1.6761489069959664E-2</v>
      </c>
    </row>
    <row r="183" spans="1:10" x14ac:dyDescent="0.35">
      <c r="A183" s="4">
        <v>182</v>
      </c>
      <c r="B183" s="7" t="s">
        <v>83</v>
      </c>
      <c r="C183" s="7" t="s">
        <v>84</v>
      </c>
      <c r="D183">
        <v>25</v>
      </c>
      <c r="E183" t="s">
        <v>17</v>
      </c>
      <c r="F183">
        <f>VLOOKUP(C183,[1]Sheet2!$A$1:$B$73,2,FALSE)</f>
        <v>0.79</v>
      </c>
      <c r="G183" s="5">
        <f t="shared" si="8"/>
        <v>399.59734972951969</v>
      </c>
      <c r="H183" s="5">
        <f t="shared" si="9"/>
        <v>0.39959734972951971</v>
      </c>
      <c r="I183" s="6">
        <f t="shared" si="10"/>
        <v>0.18781075437287426</v>
      </c>
      <c r="J183" s="6">
        <f t="shared" si="11"/>
        <v>0.68863943270053896</v>
      </c>
    </row>
    <row r="184" spans="1:10" x14ac:dyDescent="0.35">
      <c r="A184" s="4">
        <v>183</v>
      </c>
      <c r="B184" s="7" t="s">
        <v>94</v>
      </c>
      <c r="C184" s="7" t="s">
        <v>95</v>
      </c>
      <c r="D184">
        <v>11</v>
      </c>
      <c r="E184" t="s">
        <v>11</v>
      </c>
      <c r="F184">
        <v>0.55000000000000004</v>
      </c>
      <c r="G184" s="5">
        <f t="shared" si="8"/>
        <v>32.37458497998167</v>
      </c>
      <c r="H184" s="5">
        <f t="shared" si="9"/>
        <v>3.237458497998167E-2</v>
      </c>
      <c r="I184" s="6">
        <f t="shared" si="10"/>
        <v>1.5216054940591384E-2</v>
      </c>
      <c r="J184" s="6">
        <f t="shared" si="11"/>
        <v>5.5792201448835073E-2</v>
      </c>
    </row>
    <row r="185" spans="1:10" x14ac:dyDescent="0.35">
      <c r="A185" s="4">
        <v>184</v>
      </c>
      <c r="B185" s="7" t="s">
        <v>96</v>
      </c>
      <c r="C185" s="7" t="s">
        <v>97</v>
      </c>
      <c r="D185">
        <v>31</v>
      </c>
      <c r="E185" t="s">
        <v>17</v>
      </c>
      <c r="F185">
        <f>VLOOKUP(C185,[1]Sheet2!$A$1:$B$73,2,FALSE)</f>
        <v>0.37</v>
      </c>
      <c r="G185" s="5">
        <f t="shared" si="8"/>
        <v>328.82289383745729</v>
      </c>
      <c r="H185" s="5">
        <f t="shared" si="9"/>
        <v>0.32882289383745728</v>
      </c>
      <c r="I185" s="6">
        <f t="shared" si="10"/>
        <v>0.15454676010360491</v>
      </c>
      <c r="J185" s="6">
        <f t="shared" si="11"/>
        <v>0.56667145371321792</v>
      </c>
    </row>
    <row r="186" spans="1:10" x14ac:dyDescent="0.35">
      <c r="A186" s="4">
        <v>185</v>
      </c>
      <c r="B186" s="7" t="s">
        <v>18</v>
      </c>
      <c r="C186" s="7" t="s">
        <v>19</v>
      </c>
      <c r="D186">
        <v>32</v>
      </c>
      <c r="E186" t="s">
        <v>17</v>
      </c>
      <c r="F186">
        <f>VLOOKUP(C186,[1]Sheet2!$A$1:$B$73,2,FALSE)</f>
        <v>0.92</v>
      </c>
      <c r="G186" s="5">
        <f t="shared" si="8"/>
        <v>888.53278235584833</v>
      </c>
      <c r="H186" s="5">
        <f t="shared" si="9"/>
        <v>0.88853278235584832</v>
      </c>
      <c r="I186" s="6">
        <f t="shared" si="10"/>
        <v>0.41761040770724867</v>
      </c>
      <c r="J186" s="6">
        <f t="shared" si="11"/>
        <v>1.5312381615932451</v>
      </c>
    </row>
    <row r="187" spans="1:10" x14ac:dyDescent="0.35">
      <c r="A187" s="4">
        <v>186</v>
      </c>
      <c r="B187" s="7" t="s">
        <v>18</v>
      </c>
      <c r="C187" s="7" t="s">
        <v>19</v>
      </c>
      <c r="D187">
        <v>30</v>
      </c>
      <c r="E187" t="s">
        <v>17</v>
      </c>
      <c r="F187">
        <f>VLOOKUP(C187,[1]Sheet2!$A$1:$B$73,2,FALSE)</f>
        <v>0.92</v>
      </c>
      <c r="G187" s="5">
        <f t="shared" si="8"/>
        <v>750.30562072423015</v>
      </c>
      <c r="H187" s="5">
        <f t="shared" si="9"/>
        <v>0.75030562072423013</v>
      </c>
      <c r="I187" s="6">
        <f t="shared" si="10"/>
        <v>0.35264364174038815</v>
      </c>
      <c r="J187" s="6">
        <f t="shared" si="11"/>
        <v>1.2930266863814233</v>
      </c>
    </row>
    <row r="188" spans="1:10" x14ac:dyDescent="0.35">
      <c r="A188" s="4">
        <v>187</v>
      </c>
      <c r="B188" s="7" t="s">
        <v>18</v>
      </c>
      <c r="C188" s="7" t="s">
        <v>19</v>
      </c>
      <c r="D188">
        <v>28</v>
      </c>
      <c r="E188" t="s">
        <v>17</v>
      </c>
      <c r="F188">
        <f>VLOOKUP(C188,[1]Sheet2!$A$1:$B$73,2,FALSE)</f>
        <v>0.92</v>
      </c>
      <c r="G188" s="5">
        <f t="shared" si="8"/>
        <v>626.23098867322938</v>
      </c>
      <c r="H188" s="5">
        <f t="shared" si="9"/>
        <v>0.62623098867322935</v>
      </c>
      <c r="I188" s="6">
        <f t="shared" si="10"/>
        <v>0.29432856467641777</v>
      </c>
      <c r="J188" s="6">
        <f t="shared" si="11"/>
        <v>1.0792047371468652</v>
      </c>
    </row>
    <row r="189" spans="1:10" x14ac:dyDescent="0.35">
      <c r="A189" s="4">
        <v>188</v>
      </c>
      <c r="B189" s="7" t="s">
        <v>35</v>
      </c>
      <c r="C189" s="7" t="s">
        <v>36</v>
      </c>
      <c r="D189">
        <v>31</v>
      </c>
      <c r="E189" t="s">
        <v>17</v>
      </c>
      <c r="F189">
        <f>VLOOKUP(C189,[1]Sheet2!$A$1:$B$73,2,FALSE)</f>
        <v>0.59</v>
      </c>
      <c r="G189" s="5">
        <f t="shared" si="8"/>
        <v>524.33920909216158</v>
      </c>
      <c r="H189" s="5">
        <f t="shared" si="9"/>
        <v>0.52433920909216158</v>
      </c>
      <c r="I189" s="6">
        <f t="shared" si="10"/>
        <v>0.24643942827331594</v>
      </c>
      <c r="J189" s="6">
        <f t="shared" si="11"/>
        <v>0.9036112370021584</v>
      </c>
    </row>
    <row r="190" spans="1:10" x14ac:dyDescent="0.35">
      <c r="A190" s="4">
        <v>189</v>
      </c>
      <c r="B190" s="7" t="s">
        <v>67</v>
      </c>
      <c r="C190" s="7" t="s">
        <v>68</v>
      </c>
      <c r="D190">
        <v>28</v>
      </c>
      <c r="E190" t="s">
        <v>17</v>
      </c>
      <c r="F190">
        <f>VLOOKUP(C190,[1]Sheet2!$A$1:$B$73,2,FALSE)</f>
        <v>0.75</v>
      </c>
      <c r="G190" s="5">
        <f t="shared" si="8"/>
        <v>510.51439294013272</v>
      </c>
      <c r="H190" s="5">
        <f t="shared" si="9"/>
        <v>0.51051439294013268</v>
      </c>
      <c r="I190" s="6">
        <f t="shared" si="10"/>
        <v>0.23994176468186235</v>
      </c>
      <c r="J190" s="6">
        <f t="shared" si="11"/>
        <v>0.8797864705001619</v>
      </c>
    </row>
    <row r="191" spans="1:10" x14ac:dyDescent="0.35">
      <c r="A191" s="4">
        <v>190</v>
      </c>
      <c r="B191" s="7" t="s">
        <v>98</v>
      </c>
      <c r="C191" s="7" t="s">
        <v>99</v>
      </c>
      <c r="D191">
        <v>27</v>
      </c>
      <c r="E191" t="s">
        <v>17</v>
      </c>
      <c r="F191">
        <v>0.35</v>
      </c>
      <c r="G191" s="5">
        <f t="shared" si="8"/>
        <v>216.58770108122343</v>
      </c>
      <c r="H191" s="5">
        <f t="shared" si="9"/>
        <v>0.21658770108122344</v>
      </c>
      <c r="I191" s="6">
        <f t="shared" si="10"/>
        <v>0.10179621950817501</v>
      </c>
      <c r="J191" s="6">
        <f t="shared" si="11"/>
        <v>0.37325280486330836</v>
      </c>
    </row>
    <row r="192" spans="1:10" x14ac:dyDescent="0.35">
      <c r="A192" s="4">
        <v>191</v>
      </c>
      <c r="B192" s="7" t="s">
        <v>100</v>
      </c>
      <c r="C192" s="7" t="s">
        <v>101</v>
      </c>
      <c r="D192">
        <v>32</v>
      </c>
      <c r="E192" t="s">
        <v>17</v>
      </c>
      <c r="F192">
        <f>VLOOKUP(C192,[1]Sheet2!$A$1:$B$73,2,FALSE)</f>
        <v>0.6</v>
      </c>
      <c r="G192" s="5">
        <f t="shared" si="8"/>
        <v>579.47790153642279</v>
      </c>
      <c r="H192" s="5">
        <f t="shared" si="9"/>
        <v>0.57947790153642276</v>
      </c>
      <c r="I192" s="6">
        <f t="shared" si="10"/>
        <v>0.27235461372211867</v>
      </c>
      <c r="J192" s="6">
        <f t="shared" si="11"/>
        <v>0.99863358364776844</v>
      </c>
    </row>
    <row r="193" spans="1:10" x14ac:dyDescent="0.35">
      <c r="A193" s="4">
        <v>192</v>
      </c>
      <c r="B193" s="7" t="s">
        <v>98</v>
      </c>
      <c r="C193" s="7" t="s">
        <v>99</v>
      </c>
      <c r="D193">
        <v>30</v>
      </c>
      <c r="E193" t="s">
        <v>17</v>
      </c>
      <c r="F193">
        <v>0.35</v>
      </c>
      <c r="G193" s="5">
        <f t="shared" si="8"/>
        <v>285.44235571030492</v>
      </c>
      <c r="H193" s="5">
        <f t="shared" si="9"/>
        <v>0.28544235571030491</v>
      </c>
      <c r="I193" s="6">
        <f t="shared" si="10"/>
        <v>0.13415790718384329</v>
      </c>
      <c r="J193" s="6">
        <f t="shared" si="11"/>
        <v>0.49191232634075871</v>
      </c>
    </row>
    <row r="194" spans="1:10" x14ac:dyDescent="0.35">
      <c r="A194" s="4">
        <v>193</v>
      </c>
      <c r="B194" s="7" t="s">
        <v>100</v>
      </c>
      <c r="C194" s="7" t="s">
        <v>101</v>
      </c>
      <c r="D194">
        <v>38</v>
      </c>
      <c r="E194" t="s">
        <v>17</v>
      </c>
      <c r="F194">
        <f>VLOOKUP(C194,[1]Sheet2!$A$1:$B$73,2,FALSE)</f>
        <v>0.6</v>
      </c>
      <c r="G194" s="5">
        <f t="shared" ref="G194:G257" si="12">0.11*F194*(D194^2.62)</f>
        <v>909.02736799308343</v>
      </c>
      <c r="H194" s="5">
        <f t="shared" si="9"/>
        <v>0.90902736799308348</v>
      </c>
      <c r="I194" s="6">
        <f t="shared" si="10"/>
        <v>0.42724286295674924</v>
      </c>
      <c r="J194" s="6">
        <f t="shared" si="11"/>
        <v>1.5665571641747471</v>
      </c>
    </row>
    <row r="195" spans="1:10" x14ac:dyDescent="0.35">
      <c r="A195" s="4">
        <v>194</v>
      </c>
      <c r="B195" s="7" t="s">
        <v>102</v>
      </c>
      <c r="C195" s="7" t="s">
        <v>103</v>
      </c>
      <c r="D195">
        <v>28</v>
      </c>
      <c r="E195" t="s">
        <v>17</v>
      </c>
      <c r="F195">
        <v>0.67</v>
      </c>
      <c r="G195" s="5">
        <f t="shared" si="12"/>
        <v>456.05952435985188</v>
      </c>
      <c r="H195" s="5">
        <f t="shared" ref="H195:H258" si="13">G195/1000</f>
        <v>0.45605952435985186</v>
      </c>
      <c r="I195" s="6">
        <f t="shared" ref="I195:I258" si="14">H195*0.47</f>
        <v>0.21434797644913037</v>
      </c>
      <c r="J195" s="6">
        <f t="shared" ref="J195:J258" si="15">I195*(44/12)</f>
        <v>0.78594258031347797</v>
      </c>
    </row>
    <row r="196" spans="1:10" x14ac:dyDescent="0.35">
      <c r="A196" s="4">
        <v>195</v>
      </c>
      <c r="B196" s="7" t="s">
        <v>18</v>
      </c>
      <c r="C196" s="7" t="s">
        <v>19</v>
      </c>
      <c r="D196">
        <v>32</v>
      </c>
      <c r="E196" t="s">
        <v>17</v>
      </c>
      <c r="F196">
        <f>VLOOKUP(C196,[1]Sheet2!$A$1:$B$73,2,FALSE)</f>
        <v>0.92</v>
      </c>
      <c r="G196" s="5">
        <f t="shared" si="12"/>
        <v>888.53278235584833</v>
      </c>
      <c r="H196" s="5">
        <f t="shared" si="13"/>
        <v>0.88853278235584832</v>
      </c>
      <c r="I196" s="6">
        <f t="shared" si="14"/>
        <v>0.41761040770724867</v>
      </c>
      <c r="J196" s="6">
        <f t="shared" si="15"/>
        <v>1.5312381615932451</v>
      </c>
    </row>
    <row r="197" spans="1:10" x14ac:dyDescent="0.35">
      <c r="A197" s="4">
        <v>196</v>
      </c>
      <c r="B197" s="7" t="s">
        <v>18</v>
      </c>
      <c r="C197" s="7" t="s">
        <v>19</v>
      </c>
      <c r="D197">
        <v>30</v>
      </c>
      <c r="E197" t="s">
        <v>17</v>
      </c>
      <c r="F197">
        <f>VLOOKUP(C197,[1]Sheet2!$A$1:$B$73,2,FALSE)</f>
        <v>0.92</v>
      </c>
      <c r="G197" s="5">
        <f t="shared" si="12"/>
        <v>750.30562072423015</v>
      </c>
      <c r="H197" s="5">
        <f t="shared" si="13"/>
        <v>0.75030562072423013</v>
      </c>
      <c r="I197" s="6">
        <f t="shared" si="14"/>
        <v>0.35264364174038815</v>
      </c>
      <c r="J197" s="6">
        <f t="shared" si="15"/>
        <v>1.2930266863814233</v>
      </c>
    </row>
    <row r="198" spans="1:10" x14ac:dyDescent="0.35">
      <c r="A198" s="4">
        <v>197</v>
      </c>
      <c r="B198" s="7" t="s">
        <v>18</v>
      </c>
      <c r="C198" s="7" t="s">
        <v>19</v>
      </c>
      <c r="D198">
        <v>28</v>
      </c>
      <c r="E198" t="s">
        <v>17</v>
      </c>
      <c r="F198">
        <f>VLOOKUP(C198,[1]Sheet2!$A$1:$B$73,2,FALSE)</f>
        <v>0.92</v>
      </c>
      <c r="G198" s="5">
        <f t="shared" si="12"/>
        <v>626.23098867322938</v>
      </c>
      <c r="H198" s="5">
        <f t="shared" si="13"/>
        <v>0.62623098867322935</v>
      </c>
      <c r="I198" s="6">
        <f t="shared" si="14"/>
        <v>0.29432856467641777</v>
      </c>
      <c r="J198" s="6">
        <f t="shared" si="15"/>
        <v>1.0792047371468652</v>
      </c>
    </row>
    <row r="199" spans="1:10" x14ac:dyDescent="0.35">
      <c r="A199" s="4">
        <v>198</v>
      </c>
      <c r="B199" s="7" t="s">
        <v>18</v>
      </c>
      <c r="C199" s="7" t="s">
        <v>19</v>
      </c>
      <c r="D199">
        <v>31</v>
      </c>
      <c r="E199" t="s">
        <v>17</v>
      </c>
      <c r="F199">
        <f>VLOOKUP(C199,[1]Sheet2!$A$1:$B$73,2,FALSE)</f>
        <v>0.92</v>
      </c>
      <c r="G199" s="5">
        <f t="shared" si="12"/>
        <v>817.61368197421814</v>
      </c>
      <c r="H199" s="5">
        <f t="shared" si="13"/>
        <v>0.81761368197421813</v>
      </c>
      <c r="I199" s="6">
        <f t="shared" si="14"/>
        <v>0.38427843052788252</v>
      </c>
      <c r="J199" s="6">
        <f t="shared" si="15"/>
        <v>1.4090209119355692</v>
      </c>
    </row>
    <row r="200" spans="1:10" x14ac:dyDescent="0.35">
      <c r="A200" s="4">
        <v>199</v>
      </c>
      <c r="B200" s="7" t="s">
        <v>35</v>
      </c>
      <c r="C200" s="7" t="s">
        <v>36</v>
      </c>
      <c r="D200">
        <v>34</v>
      </c>
      <c r="E200" t="s">
        <v>17</v>
      </c>
      <c r="F200">
        <f>VLOOKUP(C200,[1]Sheet2!$A$1:$B$73,2,FALSE)</f>
        <v>0.59</v>
      </c>
      <c r="G200" s="5">
        <f t="shared" si="12"/>
        <v>667.9123278717833</v>
      </c>
      <c r="H200" s="5">
        <f t="shared" si="13"/>
        <v>0.66791232787178334</v>
      </c>
      <c r="I200" s="6">
        <f t="shared" si="14"/>
        <v>0.31391879409973816</v>
      </c>
      <c r="J200" s="6">
        <f t="shared" si="15"/>
        <v>1.1510355783657065</v>
      </c>
    </row>
    <row r="201" spans="1:10" x14ac:dyDescent="0.35">
      <c r="A201" s="4">
        <v>200</v>
      </c>
      <c r="B201" s="7" t="s">
        <v>35</v>
      </c>
      <c r="C201" s="7" t="s">
        <v>36</v>
      </c>
      <c r="D201">
        <v>33</v>
      </c>
      <c r="E201" t="s">
        <v>17</v>
      </c>
      <c r="F201">
        <f>VLOOKUP(C201,[1]Sheet2!$A$1:$B$73,2,FALSE)</f>
        <v>0.59</v>
      </c>
      <c r="G201" s="5">
        <f t="shared" si="12"/>
        <v>617.66247775993884</v>
      </c>
      <c r="H201" s="5">
        <f t="shared" si="13"/>
        <v>0.61766247775993888</v>
      </c>
      <c r="I201" s="6">
        <f t="shared" si="14"/>
        <v>0.29030136454717126</v>
      </c>
      <c r="J201" s="6">
        <f t="shared" si="15"/>
        <v>1.0644383366729613</v>
      </c>
    </row>
    <row r="202" spans="1:10" x14ac:dyDescent="0.35">
      <c r="A202" s="4">
        <v>201</v>
      </c>
      <c r="B202" s="7" t="s">
        <v>35</v>
      </c>
      <c r="C202" s="7" t="s">
        <v>36</v>
      </c>
      <c r="D202">
        <v>31</v>
      </c>
      <c r="E202" t="s">
        <v>17</v>
      </c>
      <c r="F202">
        <f>VLOOKUP(C202,[1]Sheet2!$A$1:$B$73,2,FALSE)</f>
        <v>0.59</v>
      </c>
      <c r="G202" s="5">
        <f t="shared" si="12"/>
        <v>524.33920909216158</v>
      </c>
      <c r="H202" s="5">
        <f t="shared" si="13"/>
        <v>0.52433920909216158</v>
      </c>
      <c r="I202" s="6">
        <f t="shared" si="14"/>
        <v>0.24643942827331594</v>
      </c>
      <c r="J202" s="6">
        <f t="shared" si="15"/>
        <v>0.9036112370021584</v>
      </c>
    </row>
    <row r="203" spans="1:10" x14ac:dyDescent="0.35">
      <c r="A203" s="4">
        <v>202</v>
      </c>
      <c r="B203" s="7" t="s">
        <v>57</v>
      </c>
      <c r="C203" s="7" t="s">
        <v>58</v>
      </c>
      <c r="D203">
        <v>32</v>
      </c>
      <c r="E203" t="s">
        <v>17</v>
      </c>
      <c r="F203">
        <f>VLOOKUP(C203,[1]Sheet2!$A$1:$B$73,2,FALSE)</f>
        <v>0.5</v>
      </c>
      <c r="G203" s="5">
        <f t="shared" si="12"/>
        <v>482.89825128035233</v>
      </c>
      <c r="H203" s="5">
        <f t="shared" si="13"/>
        <v>0.48289825128035235</v>
      </c>
      <c r="I203" s="6">
        <f t="shared" si="14"/>
        <v>0.22696217810176558</v>
      </c>
      <c r="J203" s="6">
        <f t="shared" si="15"/>
        <v>0.83219465303980711</v>
      </c>
    </row>
    <row r="204" spans="1:10" x14ac:dyDescent="0.35">
      <c r="A204" s="4">
        <v>203</v>
      </c>
      <c r="B204" s="7" t="s">
        <v>57</v>
      </c>
      <c r="C204" s="7" t="s">
        <v>58</v>
      </c>
      <c r="D204">
        <v>32</v>
      </c>
      <c r="E204" t="s">
        <v>17</v>
      </c>
      <c r="F204">
        <f>VLOOKUP(C204,[1]Sheet2!$A$1:$B$73,2,FALSE)</f>
        <v>0.5</v>
      </c>
      <c r="G204" s="5">
        <f t="shared" si="12"/>
        <v>482.89825128035233</v>
      </c>
      <c r="H204" s="5">
        <f t="shared" si="13"/>
        <v>0.48289825128035235</v>
      </c>
      <c r="I204" s="6">
        <f t="shared" si="14"/>
        <v>0.22696217810176558</v>
      </c>
      <c r="J204" s="6">
        <f t="shared" si="15"/>
        <v>0.83219465303980711</v>
      </c>
    </row>
    <row r="205" spans="1:10" x14ac:dyDescent="0.35">
      <c r="A205" s="4">
        <v>204</v>
      </c>
      <c r="B205" s="7" t="s">
        <v>67</v>
      </c>
      <c r="C205" s="7" t="s">
        <v>68</v>
      </c>
      <c r="D205">
        <v>35</v>
      </c>
      <c r="E205" t="s">
        <v>17</v>
      </c>
      <c r="F205">
        <f>VLOOKUP(C205,[1]Sheet2!$A$1:$B$73,2,FALSE)</f>
        <v>0.75</v>
      </c>
      <c r="G205" s="5">
        <f t="shared" si="12"/>
        <v>916.03533152193199</v>
      </c>
      <c r="H205" s="5">
        <f t="shared" si="13"/>
        <v>0.91603533152193195</v>
      </c>
      <c r="I205" s="6">
        <f t="shared" si="14"/>
        <v>0.430536605815308</v>
      </c>
      <c r="J205" s="6">
        <f t="shared" si="15"/>
        <v>1.578634221322796</v>
      </c>
    </row>
    <row r="206" spans="1:10" x14ac:dyDescent="0.35">
      <c r="A206" s="4">
        <v>205</v>
      </c>
      <c r="B206" s="7" t="s">
        <v>67</v>
      </c>
      <c r="C206" s="7" t="s">
        <v>68</v>
      </c>
      <c r="D206">
        <v>38</v>
      </c>
      <c r="E206" t="s">
        <v>17</v>
      </c>
      <c r="F206">
        <f>VLOOKUP(C206,[1]Sheet2!$A$1:$B$73,2,FALSE)</f>
        <v>0.75</v>
      </c>
      <c r="G206" s="5">
        <f t="shared" si="12"/>
        <v>1136.2842099913544</v>
      </c>
      <c r="H206" s="5">
        <f t="shared" si="13"/>
        <v>1.1362842099913544</v>
      </c>
      <c r="I206" s="6">
        <f t="shared" si="14"/>
        <v>0.5340535786959365</v>
      </c>
      <c r="J206" s="6">
        <f t="shared" si="15"/>
        <v>1.9581964552184337</v>
      </c>
    </row>
    <row r="207" spans="1:10" x14ac:dyDescent="0.35">
      <c r="A207" s="4">
        <v>206</v>
      </c>
      <c r="B207" s="7" t="s">
        <v>67</v>
      </c>
      <c r="C207" s="7" t="s">
        <v>68</v>
      </c>
      <c r="D207">
        <v>35</v>
      </c>
      <c r="E207" t="s">
        <v>17</v>
      </c>
      <c r="F207">
        <f>VLOOKUP(C207,[1]Sheet2!$A$1:$B$73,2,FALSE)</f>
        <v>0.75</v>
      </c>
      <c r="G207" s="5">
        <f t="shared" si="12"/>
        <v>916.03533152193199</v>
      </c>
      <c r="H207" s="5">
        <f t="shared" si="13"/>
        <v>0.91603533152193195</v>
      </c>
      <c r="I207" s="6">
        <f t="shared" si="14"/>
        <v>0.430536605815308</v>
      </c>
      <c r="J207" s="6">
        <f t="shared" si="15"/>
        <v>1.578634221322796</v>
      </c>
    </row>
    <row r="208" spans="1:10" x14ac:dyDescent="0.35">
      <c r="A208" s="4">
        <v>207</v>
      </c>
      <c r="B208" s="7" t="s">
        <v>65</v>
      </c>
      <c r="C208" s="7" t="s">
        <v>66</v>
      </c>
      <c r="D208">
        <v>28</v>
      </c>
      <c r="E208" t="s">
        <v>17</v>
      </c>
      <c r="F208">
        <f>VLOOKUP(C208,[1]Sheet2!$A$1:$B$73,2,FALSE)</f>
        <v>0.9</v>
      </c>
      <c r="G208" s="5">
        <f t="shared" si="12"/>
        <v>612.61727152815922</v>
      </c>
      <c r="H208" s="5">
        <f t="shared" si="13"/>
        <v>0.61261727152815926</v>
      </c>
      <c r="I208" s="6">
        <f t="shared" si="14"/>
        <v>0.28793011761823484</v>
      </c>
      <c r="J208" s="6">
        <f t="shared" si="15"/>
        <v>1.0557437646001944</v>
      </c>
    </row>
    <row r="209" spans="1:10" x14ac:dyDescent="0.35">
      <c r="A209" s="4">
        <v>208</v>
      </c>
      <c r="B209" s="7" t="s">
        <v>69</v>
      </c>
      <c r="C209" s="7" t="s">
        <v>70</v>
      </c>
      <c r="D209">
        <v>25</v>
      </c>
      <c r="E209" t="s">
        <v>17</v>
      </c>
      <c r="F209">
        <v>0.6</v>
      </c>
      <c r="G209" s="5">
        <f t="shared" si="12"/>
        <v>303.49165802241998</v>
      </c>
      <c r="H209" s="5">
        <f t="shared" si="13"/>
        <v>0.30349165802242001</v>
      </c>
      <c r="I209" s="6">
        <f t="shared" si="14"/>
        <v>0.1426410792705374</v>
      </c>
      <c r="J209" s="6">
        <f t="shared" si="15"/>
        <v>0.52301729065863711</v>
      </c>
    </row>
    <row r="210" spans="1:10" x14ac:dyDescent="0.35">
      <c r="A210" s="4">
        <v>209</v>
      </c>
      <c r="B210" s="7" t="s">
        <v>73</v>
      </c>
      <c r="C210" s="7" t="s">
        <v>74</v>
      </c>
      <c r="D210">
        <v>32</v>
      </c>
      <c r="E210" t="s">
        <v>17</v>
      </c>
      <c r="F210">
        <f>VLOOKUP(C210,[1]Sheet2!$A$1:$B$73,2,FALSE)</f>
        <v>0.58799999999999997</v>
      </c>
      <c r="G210" s="5">
        <f t="shared" si="12"/>
        <v>567.88834350569437</v>
      </c>
      <c r="H210" s="5">
        <f t="shared" si="13"/>
        <v>0.56788834350569439</v>
      </c>
      <c r="I210" s="6">
        <f t="shared" si="14"/>
        <v>0.26690752144767638</v>
      </c>
      <c r="J210" s="6">
        <f t="shared" si="15"/>
        <v>0.97866091197481331</v>
      </c>
    </row>
    <row r="211" spans="1:10" x14ac:dyDescent="0.35">
      <c r="A211" s="4">
        <v>210</v>
      </c>
      <c r="B211" s="7" t="s">
        <v>57</v>
      </c>
      <c r="C211" s="7" t="s">
        <v>58</v>
      </c>
      <c r="D211">
        <v>28</v>
      </c>
      <c r="E211" t="s">
        <v>17</v>
      </c>
      <c r="F211">
        <f>VLOOKUP(C211,[1]Sheet2!$A$1:$B$73,2,FALSE)</f>
        <v>0.5</v>
      </c>
      <c r="G211" s="5">
        <f t="shared" si="12"/>
        <v>340.34292862675511</v>
      </c>
      <c r="H211" s="5">
        <f t="shared" si="13"/>
        <v>0.34034292862675514</v>
      </c>
      <c r="I211" s="6">
        <f t="shared" si="14"/>
        <v>0.15996117645457492</v>
      </c>
      <c r="J211" s="6">
        <f t="shared" si="15"/>
        <v>0.58652431366677471</v>
      </c>
    </row>
    <row r="212" spans="1:10" x14ac:dyDescent="0.35">
      <c r="A212" s="4">
        <v>211</v>
      </c>
      <c r="B212" s="7" t="s">
        <v>57</v>
      </c>
      <c r="C212" s="7" t="s">
        <v>58</v>
      </c>
      <c r="D212">
        <v>26</v>
      </c>
      <c r="E212" t="s">
        <v>17</v>
      </c>
      <c r="F212">
        <f>VLOOKUP(C212,[1]Sheet2!$A$1:$B$73,2,FALSE)</f>
        <v>0.5</v>
      </c>
      <c r="G212" s="5">
        <f t="shared" si="12"/>
        <v>280.2804855474821</v>
      </c>
      <c r="H212" s="5">
        <f t="shared" si="13"/>
        <v>0.28028048554748208</v>
      </c>
      <c r="I212" s="6">
        <f t="shared" si="14"/>
        <v>0.13173182820731658</v>
      </c>
      <c r="J212" s="6">
        <f t="shared" si="15"/>
        <v>0.4830167034268274</v>
      </c>
    </row>
    <row r="213" spans="1:10" x14ac:dyDescent="0.35">
      <c r="A213" s="4">
        <v>212</v>
      </c>
      <c r="B213" s="7" t="s">
        <v>57</v>
      </c>
      <c r="C213" s="7" t="s">
        <v>58</v>
      </c>
      <c r="D213">
        <v>25</v>
      </c>
      <c r="E213" t="s">
        <v>17</v>
      </c>
      <c r="F213">
        <f>VLOOKUP(C213,[1]Sheet2!$A$1:$B$73,2,FALSE)</f>
        <v>0.5</v>
      </c>
      <c r="G213" s="5">
        <f t="shared" si="12"/>
        <v>252.90971501868333</v>
      </c>
      <c r="H213" s="5">
        <f t="shared" si="13"/>
        <v>0.25290971501868331</v>
      </c>
      <c r="I213" s="6">
        <f t="shared" si="14"/>
        <v>0.11886756605878115</v>
      </c>
      <c r="J213" s="6">
        <f t="shared" si="15"/>
        <v>0.43584774221553091</v>
      </c>
    </row>
    <row r="214" spans="1:10" x14ac:dyDescent="0.35">
      <c r="A214" s="4">
        <v>213</v>
      </c>
      <c r="B214" s="7" t="s">
        <v>57</v>
      </c>
      <c r="C214" s="7" t="s">
        <v>58</v>
      </c>
      <c r="D214">
        <v>25</v>
      </c>
      <c r="E214" t="s">
        <v>17</v>
      </c>
      <c r="F214">
        <f>VLOOKUP(C214,[1]Sheet2!$A$1:$B$73,2,FALSE)</f>
        <v>0.5</v>
      </c>
      <c r="G214" s="5">
        <f t="shared" si="12"/>
        <v>252.90971501868333</v>
      </c>
      <c r="H214" s="5">
        <f t="shared" si="13"/>
        <v>0.25290971501868331</v>
      </c>
      <c r="I214" s="6">
        <f t="shared" si="14"/>
        <v>0.11886756605878115</v>
      </c>
      <c r="J214" s="6">
        <f t="shared" si="15"/>
        <v>0.43584774221553091</v>
      </c>
    </row>
    <row r="215" spans="1:10" x14ac:dyDescent="0.35">
      <c r="A215" s="4">
        <v>214</v>
      </c>
      <c r="B215" s="7" t="s">
        <v>63</v>
      </c>
      <c r="C215" s="7" t="s">
        <v>64</v>
      </c>
      <c r="D215">
        <v>31</v>
      </c>
      <c r="E215" t="s">
        <v>17</v>
      </c>
      <c r="F215">
        <f>VLOOKUP(C215,[1]Sheet2!$A$1:$B$73,2,FALSE)</f>
        <v>0.4</v>
      </c>
      <c r="G215" s="5">
        <f t="shared" si="12"/>
        <v>355.48420955400792</v>
      </c>
      <c r="H215" s="5">
        <f t="shared" si="13"/>
        <v>0.35548420955400795</v>
      </c>
      <c r="I215" s="6">
        <f t="shared" si="14"/>
        <v>0.16707757849038374</v>
      </c>
      <c r="J215" s="6">
        <f t="shared" si="15"/>
        <v>0.61261778779807363</v>
      </c>
    </row>
    <row r="216" spans="1:10" x14ac:dyDescent="0.35">
      <c r="A216" s="4">
        <v>215</v>
      </c>
      <c r="B216" s="7" t="s">
        <v>69</v>
      </c>
      <c r="C216" s="7" t="s">
        <v>70</v>
      </c>
      <c r="D216">
        <v>32</v>
      </c>
      <c r="E216" t="s">
        <v>17</v>
      </c>
      <c r="F216">
        <v>0.6</v>
      </c>
      <c r="G216" s="5">
        <f t="shared" si="12"/>
        <v>579.47790153642279</v>
      </c>
      <c r="H216" s="5">
        <f t="shared" si="13"/>
        <v>0.57947790153642276</v>
      </c>
      <c r="I216" s="6">
        <f t="shared" si="14"/>
        <v>0.27235461372211867</v>
      </c>
      <c r="J216" s="6">
        <f t="shared" si="15"/>
        <v>0.99863358364776844</v>
      </c>
    </row>
    <row r="217" spans="1:10" x14ac:dyDescent="0.35">
      <c r="A217" s="4">
        <v>216</v>
      </c>
      <c r="B217" s="7" t="s">
        <v>18</v>
      </c>
      <c r="C217" s="7" t="s">
        <v>19</v>
      </c>
      <c r="D217">
        <v>30</v>
      </c>
      <c r="E217" t="s">
        <v>17</v>
      </c>
      <c r="F217">
        <f>VLOOKUP(C217,[1]Sheet2!$A$1:$B$73,2,FALSE)</f>
        <v>0.92</v>
      </c>
      <c r="G217" s="5">
        <f t="shared" si="12"/>
        <v>750.30562072423015</v>
      </c>
      <c r="H217" s="5">
        <f t="shared" si="13"/>
        <v>0.75030562072423013</v>
      </c>
      <c r="I217" s="6">
        <f t="shared" si="14"/>
        <v>0.35264364174038815</v>
      </c>
      <c r="J217" s="6">
        <f t="shared" si="15"/>
        <v>1.2930266863814233</v>
      </c>
    </row>
    <row r="218" spans="1:10" x14ac:dyDescent="0.35">
      <c r="A218" s="4">
        <v>217</v>
      </c>
      <c r="B218" s="7" t="s">
        <v>18</v>
      </c>
      <c r="C218" s="7" t="s">
        <v>19</v>
      </c>
      <c r="D218">
        <v>27</v>
      </c>
      <c r="E218" t="s">
        <v>17</v>
      </c>
      <c r="F218">
        <f>VLOOKUP(C218,[1]Sheet2!$A$1:$B$73,2,FALSE)</f>
        <v>0.92</v>
      </c>
      <c r="G218" s="5">
        <f t="shared" si="12"/>
        <v>569.31624284207294</v>
      </c>
      <c r="H218" s="5">
        <f t="shared" si="13"/>
        <v>0.56931624284207294</v>
      </c>
      <c r="I218" s="6">
        <f t="shared" si="14"/>
        <v>0.26757863413577426</v>
      </c>
      <c r="J218" s="6">
        <f t="shared" si="15"/>
        <v>0.98112165849783894</v>
      </c>
    </row>
    <row r="219" spans="1:10" x14ac:dyDescent="0.35">
      <c r="A219" s="4">
        <v>218</v>
      </c>
      <c r="B219" s="7" t="s">
        <v>18</v>
      </c>
      <c r="C219" s="7" t="s">
        <v>19</v>
      </c>
      <c r="D219">
        <v>25</v>
      </c>
      <c r="E219" t="s">
        <v>17</v>
      </c>
      <c r="F219">
        <f>VLOOKUP(C219,[1]Sheet2!$A$1:$B$73,2,FALSE)</f>
        <v>0.92</v>
      </c>
      <c r="G219" s="5">
        <f t="shared" si="12"/>
        <v>465.35387563437729</v>
      </c>
      <c r="H219" s="5">
        <f t="shared" si="13"/>
        <v>0.4653538756343773</v>
      </c>
      <c r="I219" s="6">
        <f t="shared" si="14"/>
        <v>0.21871632154815732</v>
      </c>
      <c r="J219" s="6">
        <f t="shared" si="15"/>
        <v>0.80195984567657674</v>
      </c>
    </row>
    <row r="220" spans="1:10" x14ac:dyDescent="0.35">
      <c r="A220" s="4">
        <v>219</v>
      </c>
      <c r="B220" s="7" t="s">
        <v>73</v>
      </c>
      <c r="C220" s="7" t="s">
        <v>74</v>
      </c>
      <c r="D220">
        <v>27</v>
      </c>
      <c r="E220" t="s">
        <v>17</v>
      </c>
      <c r="F220">
        <f>VLOOKUP(C220,[1]Sheet2!$A$1:$B$73,2,FALSE)</f>
        <v>0.58799999999999997</v>
      </c>
      <c r="G220" s="5">
        <f t="shared" si="12"/>
        <v>363.86733781645535</v>
      </c>
      <c r="H220" s="5">
        <f t="shared" si="13"/>
        <v>0.36386733781645536</v>
      </c>
      <c r="I220" s="6">
        <f t="shared" si="14"/>
        <v>0.17101764877373402</v>
      </c>
      <c r="J220" s="6">
        <f t="shared" si="15"/>
        <v>0.62706471217035809</v>
      </c>
    </row>
    <row r="221" spans="1:10" x14ac:dyDescent="0.35">
      <c r="A221" s="4">
        <v>220</v>
      </c>
      <c r="B221" s="7" t="s">
        <v>85</v>
      </c>
      <c r="C221" s="7" t="s">
        <v>86</v>
      </c>
      <c r="D221">
        <v>25</v>
      </c>
      <c r="E221" t="s">
        <v>17</v>
      </c>
      <c r="F221">
        <f>VLOOKUP(C221,[1]Sheet2!$A$1:$B$73,2,FALSE)</f>
        <v>0.64</v>
      </c>
      <c r="G221" s="5">
        <f t="shared" si="12"/>
        <v>323.72443522391467</v>
      </c>
      <c r="H221" s="5">
        <f t="shared" si="13"/>
        <v>0.32372443522391464</v>
      </c>
      <c r="I221" s="6">
        <f t="shared" si="14"/>
        <v>0.15215048455523988</v>
      </c>
      <c r="J221" s="6">
        <f t="shared" si="15"/>
        <v>0.55788511003587959</v>
      </c>
    </row>
    <row r="222" spans="1:10" x14ac:dyDescent="0.35">
      <c r="A222" s="4">
        <v>221</v>
      </c>
      <c r="B222" s="7" t="s">
        <v>85</v>
      </c>
      <c r="C222" s="7" t="s">
        <v>86</v>
      </c>
      <c r="D222">
        <v>18</v>
      </c>
      <c r="E222" t="s">
        <v>11</v>
      </c>
      <c r="F222">
        <f>VLOOKUP(C222,[1]Sheet2!$A$1:$B$73,2,FALSE)</f>
        <v>0.64</v>
      </c>
      <c r="G222" s="5">
        <f t="shared" si="12"/>
        <v>136.89469626481377</v>
      </c>
      <c r="H222" s="5">
        <f t="shared" si="13"/>
        <v>0.13689469626481376</v>
      </c>
      <c r="I222" s="6">
        <f t="shared" si="14"/>
        <v>6.4340507244462469E-2</v>
      </c>
      <c r="J222" s="6">
        <f t="shared" si="15"/>
        <v>0.2359151932296957</v>
      </c>
    </row>
    <row r="223" spans="1:10" x14ac:dyDescent="0.35">
      <c r="A223" s="4">
        <v>222</v>
      </c>
      <c r="B223" s="7" t="s">
        <v>85</v>
      </c>
      <c r="C223" s="7" t="s">
        <v>86</v>
      </c>
      <c r="D223">
        <v>16</v>
      </c>
      <c r="E223" t="s">
        <v>11</v>
      </c>
      <c r="F223">
        <f>VLOOKUP(C223,[1]Sheet2!$A$1:$B$73,2,FALSE)</f>
        <v>0.64</v>
      </c>
      <c r="G223" s="5">
        <f t="shared" si="12"/>
        <v>100.54651300973424</v>
      </c>
      <c r="H223" s="5">
        <f t="shared" si="13"/>
        <v>0.10054651300973425</v>
      </c>
      <c r="I223" s="6">
        <f t="shared" si="14"/>
        <v>4.725686111457509E-2</v>
      </c>
      <c r="J223" s="6">
        <f t="shared" si="15"/>
        <v>0.17327515742010866</v>
      </c>
    </row>
    <row r="224" spans="1:10" x14ac:dyDescent="0.35">
      <c r="A224" s="4">
        <v>223</v>
      </c>
      <c r="B224" s="7" t="s">
        <v>85</v>
      </c>
      <c r="C224" s="7" t="s">
        <v>86</v>
      </c>
      <c r="D224">
        <v>15</v>
      </c>
      <c r="E224" t="s">
        <v>11</v>
      </c>
      <c r="F224">
        <f>VLOOKUP(C224,[1]Sheet2!$A$1:$B$73,2,FALSE)</f>
        <v>0.64</v>
      </c>
      <c r="G224" s="5">
        <f t="shared" si="12"/>
        <v>84.904705097546127</v>
      </c>
      <c r="H224" s="5">
        <f t="shared" si="13"/>
        <v>8.4904705097546121E-2</v>
      </c>
      <c r="I224" s="6">
        <f t="shared" si="14"/>
        <v>3.9905211395846678E-2</v>
      </c>
      <c r="J224" s="6">
        <f t="shared" si="15"/>
        <v>0.14631910845143781</v>
      </c>
    </row>
    <row r="225" spans="1:10" x14ac:dyDescent="0.35">
      <c r="A225" s="4">
        <v>224</v>
      </c>
      <c r="B225" s="7" t="s">
        <v>85</v>
      </c>
      <c r="C225" s="7" t="s">
        <v>86</v>
      </c>
      <c r="D225">
        <v>15</v>
      </c>
      <c r="E225" t="s">
        <v>11</v>
      </c>
      <c r="F225">
        <f>VLOOKUP(C225,[1]Sheet2!$A$1:$B$73,2,FALSE)</f>
        <v>0.64</v>
      </c>
      <c r="G225" s="5">
        <f t="shared" si="12"/>
        <v>84.904705097546127</v>
      </c>
      <c r="H225" s="5">
        <f t="shared" si="13"/>
        <v>8.4904705097546121E-2</v>
      </c>
      <c r="I225" s="6">
        <f t="shared" si="14"/>
        <v>3.9905211395846678E-2</v>
      </c>
      <c r="J225" s="6">
        <f t="shared" si="15"/>
        <v>0.14631910845143781</v>
      </c>
    </row>
    <row r="226" spans="1:10" x14ac:dyDescent="0.35">
      <c r="A226" s="4">
        <v>225</v>
      </c>
      <c r="B226" s="7" t="s">
        <v>85</v>
      </c>
      <c r="C226" s="7" t="s">
        <v>86</v>
      </c>
      <c r="D226">
        <v>14</v>
      </c>
      <c r="E226" t="s">
        <v>11</v>
      </c>
      <c r="F226">
        <f>VLOOKUP(C226,[1]Sheet2!$A$1:$B$73,2,FALSE)</f>
        <v>0.64</v>
      </c>
      <c r="G226" s="5">
        <f t="shared" si="12"/>
        <v>70.864399716109304</v>
      </c>
      <c r="H226" s="5">
        <f t="shared" si="13"/>
        <v>7.0864399716109305E-2</v>
      </c>
      <c r="I226" s="6">
        <f t="shared" si="14"/>
        <v>3.3306267866571371E-2</v>
      </c>
      <c r="J226" s="6">
        <f t="shared" si="15"/>
        <v>0.12212298217742835</v>
      </c>
    </row>
    <row r="227" spans="1:10" x14ac:dyDescent="0.35">
      <c r="A227" s="4">
        <v>226</v>
      </c>
      <c r="B227" s="7" t="s">
        <v>85</v>
      </c>
      <c r="C227" s="7" t="s">
        <v>86</v>
      </c>
      <c r="D227">
        <v>13</v>
      </c>
      <c r="E227" t="s">
        <v>11</v>
      </c>
      <c r="F227">
        <f>VLOOKUP(C227,[1]Sheet2!$A$1:$B$73,2,FALSE)</f>
        <v>0.64</v>
      </c>
      <c r="G227" s="5">
        <f t="shared" si="12"/>
        <v>58.358516337044243</v>
      </c>
      <c r="H227" s="5">
        <f t="shared" si="13"/>
        <v>5.8358516337044246E-2</v>
      </c>
      <c r="I227" s="6">
        <f t="shared" si="14"/>
        <v>2.7428502678410793E-2</v>
      </c>
      <c r="J227" s="6">
        <f t="shared" si="15"/>
        <v>0.10057117648750624</v>
      </c>
    </row>
    <row r="228" spans="1:10" x14ac:dyDescent="0.35">
      <c r="A228" s="4">
        <v>227</v>
      </c>
      <c r="B228" s="7" t="s">
        <v>85</v>
      </c>
      <c r="C228" s="7" t="s">
        <v>86</v>
      </c>
      <c r="D228">
        <v>17</v>
      </c>
      <c r="E228" t="s">
        <v>11</v>
      </c>
      <c r="F228">
        <f>VLOOKUP(C228,[1]Sheet2!$A$1:$B$73,2,FALSE)</f>
        <v>0.64</v>
      </c>
      <c r="G228" s="5">
        <f t="shared" si="12"/>
        <v>117.8552227830789</v>
      </c>
      <c r="H228" s="5">
        <f t="shared" si="13"/>
        <v>0.1178552227830789</v>
      </c>
      <c r="I228" s="6">
        <f t="shared" si="14"/>
        <v>5.5391954708047079E-2</v>
      </c>
      <c r="J228" s="6">
        <f t="shared" si="15"/>
        <v>0.20310383392950596</v>
      </c>
    </row>
    <row r="229" spans="1:10" x14ac:dyDescent="0.35">
      <c r="A229" s="4">
        <v>228</v>
      </c>
      <c r="B229" s="7" t="s">
        <v>85</v>
      </c>
      <c r="C229" s="7" t="s">
        <v>86</v>
      </c>
      <c r="D229">
        <v>16</v>
      </c>
      <c r="E229" t="s">
        <v>11</v>
      </c>
      <c r="F229">
        <f>VLOOKUP(C229,[1]Sheet2!$A$1:$B$73,2,FALSE)</f>
        <v>0.64</v>
      </c>
      <c r="G229" s="5">
        <f t="shared" si="12"/>
        <v>100.54651300973424</v>
      </c>
      <c r="H229" s="5">
        <f t="shared" si="13"/>
        <v>0.10054651300973425</v>
      </c>
      <c r="I229" s="6">
        <f t="shared" si="14"/>
        <v>4.725686111457509E-2</v>
      </c>
      <c r="J229" s="6">
        <f t="shared" si="15"/>
        <v>0.17327515742010866</v>
      </c>
    </row>
    <row r="230" spans="1:10" x14ac:dyDescent="0.35">
      <c r="A230" s="4">
        <v>229</v>
      </c>
      <c r="B230" s="7" t="s">
        <v>73</v>
      </c>
      <c r="C230" s="7" t="s">
        <v>74</v>
      </c>
      <c r="D230">
        <v>32</v>
      </c>
      <c r="E230" t="s">
        <v>17</v>
      </c>
      <c r="F230">
        <f>VLOOKUP(C230,[1]Sheet2!$A$1:$B$73,2,FALSE)</f>
        <v>0.58799999999999997</v>
      </c>
      <c r="G230" s="5">
        <f t="shared" si="12"/>
        <v>567.88834350569437</v>
      </c>
      <c r="H230" s="5">
        <f t="shared" si="13"/>
        <v>0.56788834350569439</v>
      </c>
      <c r="I230" s="6">
        <f t="shared" si="14"/>
        <v>0.26690752144767638</v>
      </c>
      <c r="J230" s="6">
        <f t="shared" si="15"/>
        <v>0.97866091197481331</v>
      </c>
    </row>
    <row r="231" spans="1:10" x14ac:dyDescent="0.35">
      <c r="A231" s="4">
        <v>230</v>
      </c>
      <c r="B231" s="7" t="s">
        <v>73</v>
      </c>
      <c r="C231" s="7" t="s">
        <v>74</v>
      </c>
      <c r="D231">
        <v>33</v>
      </c>
      <c r="E231" t="s">
        <v>17</v>
      </c>
      <c r="F231">
        <f>VLOOKUP(C231,[1]Sheet2!$A$1:$B$73,2,FALSE)</f>
        <v>0.58799999999999997</v>
      </c>
      <c r="G231" s="5">
        <f t="shared" si="12"/>
        <v>615.56870664888822</v>
      </c>
      <c r="H231" s="5">
        <f t="shared" si="13"/>
        <v>0.61556870664888819</v>
      </c>
      <c r="I231" s="6">
        <f t="shared" si="14"/>
        <v>0.28931729212497742</v>
      </c>
      <c r="J231" s="6">
        <f t="shared" si="15"/>
        <v>1.0608300711249172</v>
      </c>
    </row>
    <row r="232" spans="1:10" x14ac:dyDescent="0.35">
      <c r="A232" s="4">
        <v>231</v>
      </c>
      <c r="B232" s="7" t="s">
        <v>53</v>
      </c>
      <c r="C232" s="8" t="s">
        <v>54</v>
      </c>
      <c r="D232">
        <v>27</v>
      </c>
      <c r="E232" t="s">
        <v>17</v>
      </c>
      <c r="F232">
        <f>VLOOKUP(C232,[1]Sheet2!$A$1:$B$73,2,FALSE)</f>
        <v>0.48</v>
      </c>
      <c r="G232" s="5">
        <f t="shared" si="12"/>
        <v>297.03456148282066</v>
      </c>
      <c r="H232" s="5">
        <f t="shared" si="13"/>
        <v>0.29703456148282065</v>
      </c>
      <c r="I232" s="6">
        <f t="shared" si="14"/>
        <v>0.13960624389692569</v>
      </c>
      <c r="J232" s="6">
        <f t="shared" si="15"/>
        <v>0.51188956095539417</v>
      </c>
    </row>
    <row r="233" spans="1:10" x14ac:dyDescent="0.35">
      <c r="A233" s="4">
        <v>232</v>
      </c>
      <c r="B233" s="7" t="s">
        <v>44</v>
      </c>
      <c r="C233" s="7" t="s">
        <v>45</v>
      </c>
      <c r="D233">
        <v>30</v>
      </c>
      <c r="E233" t="s">
        <v>17</v>
      </c>
      <c r="F233">
        <f>VLOOKUP(C233,[1]Sheet2!$A$1:$B$73,2,FALSE)</f>
        <v>0.97</v>
      </c>
      <c r="G233" s="5">
        <f t="shared" si="12"/>
        <v>791.08310011141657</v>
      </c>
      <c r="H233" s="5">
        <f t="shared" si="13"/>
        <v>0.79108310011141658</v>
      </c>
      <c r="I233" s="6">
        <f t="shared" si="14"/>
        <v>0.37180905705236578</v>
      </c>
      <c r="J233" s="6">
        <f t="shared" si="15"/>
        <v>1.3632998758586745</v>
      </c>
    </row>
    <row r="234" spans="1:10" x14ac:dyDescent="0.35">
      <c r="A234" s="4">
        <v>233</v>
      </c>
      <c r="B234" s="7" t="s">
        <v>18</v>
      </c>
      <c r="C234" s="7" t="s">
        <v>19</v>
      </c>
      <c r="D234">
        <v>32</v>
      </c>
      <c r="E234" t="s">
        <v>17</v>
      </c>
      <c r="F234">
        <f>VLOOKUP(C234,[1]Sheet2!$A$1:$B$73,2,FALSE)</f>
        <v>0.92</v>
      </c>
      <c r="G234" s="5">
        <f t="shared" si="12"/>
        <v>888.53278235584833</v>
      </c>
      <c r="H234" s="5">
        <f t="shared" si="13"/>
        <v>0.88853278235584832</v>
      </c>
      <c r="I234" s="6">
        <f t="shared" si="14"/>
        <v>0.41761040770724867</v>
      </c>
      <c r="J234" s="6">
        <f t="shared" si="15"/>
        <v>1.5312381615932451</v>
      </c>
    </row>
    <row r="235" spans="1:10" x14ac:dyDescent="0.35">
      <c r="A235" s="4">
        <v>234</v>
      </c>
      <c r="B235" s="7" t="s">
        <v>23</v>
      </c>
      <c r="C235" s="7" t="s">
        <v>24</v>
      </c>
      <c r="D235">
        <v>33</v>
      </c>
      <c r="E235" t="s">
        <v>17</v>
      </c>
      <c r="F235">
        <v>0.76</v>
      </c>
      <c r="G235" s="5">
        <f t="shared" si="12"/>
        <v>795.63302219924333</v>
      </c>
      <c r="H235" s="5">
        <f t="shared" si="13"/>
        <v>0.79563302219924337</v>
      </c>
      <c r="I235" s="6">
        <f t="shared" si="14"/>
        <v>0.37394752043364438</v>
      </c>
      <c r="J235" s="6">
        <f t="shared" si="15"/>
        <v>1.3711409082566961</v>
      </c>
    </row>
    <row r="236" spans="1:10" x14ac:dyDescent="0.35">
      <c r="A236" s="4">
        <v>235</v>
      </c>
      <c r="B236" s="7" t="s">
        <v>27</v>
      </c>
      <c r="C236" s="7" t="s">
        <v>28</v>
      </c>
      <c r="D236">
        <v>28</v>
      </c>
      <c r="E236" t="s">
        <v>17</v>
      </c>
      <c r="F236">
        <f>VLOOKUP(C236,[1]Sheet2!$A$1:$B$73,2,FALSE)</f>
        <v>0.63</v>
      </c>
      <c r="G236" s="5">
        <f t="shared" si="12"/>
        <v>428.83209006971146</v>
      </c>
      <c r="H236" s="5">
        <f t="shared" si="13"/>
        <v>0.42883209006971146</v>
      </c>
      <c r="I236" s="6">
        <f t="shared" si="14"/>
        <v>0.20155108233276436</v>
      </c>
      <c r="J236" s="6">
        <f t="shared" si="15"/>
        <v>0.73902063522013595</v>
      </c>
    </row>
    <row r="237" spans="1:10" x14ac:dyDescent="0.35">
      <c r="A237" s="4">
        <v>236</v>
      </c>
      <c r="B237" s="7" t="s">
        <v>27</v>
      </c>
      <c r="C237" s="7" t="s">
        <v>28</v>
      </c>
      <c r="D237">
        <v>27</v>
      </c>
      <c r="E237" t="s">
        <v>17</v>
      </c>
      <c r="F237">
        <f>VLOOKUP(C237,[1]Sheet2!$A$1:$B$73,2,FALSE)</f>
        <v>0.63</v>
      </c>
      <c r="G237" s="5">
        <f t="shared" si="12"/>
        <v>389.85786194620215</v>
      </c>
      <c r="H237" s="5">
        <f t="shared" si="13"/>
        <v>0.38985786194620214</v>
      </c>
      <c r="I237" s="6">
        <f t="shared" si="14"/>
        <v>0.183233195114715</v>
      </c>
      <c r="J237" s="6">
        <f t="shared" si="15"/>
        <v>0.67185504875395496</v>
      </c>
    </row>
    <row r="238" spans="1:10" x14ac:dyDescent="0.35">
      <c r="A238" s="4">
        <v>237</v>
      </c>
      <c r="B238" s="7" t="s">
        <v>29</v>
      </c>
      <c r="C238" s="8" t="s">
        <v>30</v>
      </c>
      <c r="D238">
        <v>25</v>
      </c>
      <c r="E238" t="s">
        <v>17</v>
      </c>
      <c r="F238">
        <f>VLOOKUP(C238,[1]Sheet2!$A$1:$B$73,2,FALSE)</f>
        <v>0.56000000000000005</v>
      </c>
      <c r="G238" s="5">
        <f t="shared" si="12"/>
        <v>283.25888082092536</v>
      </c>
      <c r="H238" s="5">
        <f t="shared" si="13"/>
        <v>0.28325888082092537</v>
      </c>
      <c r="I238" s="6">
        <f t="shared" si="14"/>
        <v>0.13313167398583492</v>
      </c>
      <c r="J238" s="6">
        <f t="shared" si="15"/>
        <v>0.48814947128139469</v>
      </c>
    </row>
    <row r="239" spans="1:10" x14ac:dyDescent="0.35">
      <c r="A239" s="4">
        <v>238</v>
      </c>
      <c r="B239" s="7" t="s">
        <v>29</v>
      </c>
      <c r="C239" s="8" t="s">
        <v>30</v>
      </c>
      <c r="D239">
        <v>23</v>
      </c>
      <c r="E239" t="s">
        <v>17</v>
      </c>
      <c r="F239">
        <f>VLOOKUP(C239,[1]Sheet2!$A$1:$B$73,2,FALSE)</f>
        <v>0.56000000000000005</v>
      </c>
      <c r="G239" s="5">
        <f t="shared" si="12"/>
        <v>227.67096195508711</v>
      </c>
      <c r="H239" s="5">
        <f t="shared" si="13"/>
        <v>0.2276709619550871</v>
      </c>
      <c r="I239" s="6">
        <f t="shared" si="14"/>
        <v>0.10700535211889094</v>
      </c>
      <c r="J239" s="6">
        <f t="shared" si="15"/>
        <v>0.39235295776926676</v>
      </c>
    </row>
    <row r="240" spans="1:10" x14ac:dyDescent="0.35">
      <c r="A240" s="4">
        <v>239</v>
      </c>
      <c r="B240" s="7" t="s">
        <v>20</v>
      </c>
      <c r="C240" s="7" t="s">
        <v>16</v>
      </c>
      <c r="D240">
        <v>21</v>
      </c>
      <c r="E240" t="s">
        <v>17</v>
      </c>
      <c r="F240">
        <v>0.65</v>
      </c>
      <c r="G240" s="5">
        <f t="shared" si="12"/>
        <v>208.21911392304682</v>
      </c>
      <c r="H240" s="5">
        <f t="shared" si="13"/>
        <v>0.20821911392304682</v>
      </c>
      <c r="I240" s="6">
        <f t="shared" si="14"/>
        <v>9.7862983543831994E-2</v>
      </c>
      <c r="J240" s="6">
        <f t="shared" si="15"/>
        <v>0.35883093966071727</v>
      </c>
    </row>
    <row r="241" spans="1:10" x14ac:dyDescent="0.35">
      <c r="A241" s="4">
        <v>240</v>
      </c>
      <c r="B241" s="7" t="s">
        <v>35</v>
      </c>
      <c r="C241" s="7" t="s">
        <v>36</v>
      </c>
      <c r="D241">
        <v>22</v>
      </c>
      <c r="E241" t="s">
        <v>17</v>
      </c>
      <c r="F241">
        <f>VLOOKUP(C241,[1]Sheet2!$A$1:$B$73,2,FALSE)</f>
        <v>0.59</v>
      </c>
      <c r="G241" s="5">
        <f t="shared" si="12"/>
        <v>213.49716897845656</v>
      </c>
      <c r="H241" s="5">
        <f t="shared" si="13"/>
        <v>0.21349716897845655</v>
      </c>
      <c r="I241" s="6">
        <f t="shared" si="14"/>
        <v>0.10034366941987458</v>
      </c>
      <c r="J241" s="6">
        <f t="shared" si="15"/>
        <v>0.36792678787287342</v>
      </c>
    </row>
    <row r="242" spans="1:10" x14ac:dyDescent="0.35">
      <c r="A242" s="4">
        <v>241</v>
      </c>
      <c r="B242" s="7" t="s">
        <v>35</v>
      </c>
      <c r="C242" s="7" t="s">
        <v>36</v>
      </c>
      <c r="D242">
        <v>14</v>
      </c>
      <c r="E242" t="s">
        <v>11</v>
      </c>
      <c r="F242">
        <f>VLOOKUP(C242,[1]Sheet2!$A$1:$B$73,2,FALSE)</f>
        <v>0.59</v>
      </c>
      <c r="G242" s="5">
        <f t="shared" si="12"/>
        <v>65.328118488288268</v>
      </c>
      <c r="H242" s="5">
        <f t="shared" si="13"/>
        <v>6.5328118488288262E-2</v>
      </c>
      <c r="I242" s="6">
        <f t="shared" si="14"/>
        <v>3.0704215689495482E-2</v>
      </c>
      <c r="J242" s="6">
        <f t="shared" si="15"/>
        <v>0.11258212419481677</v>
      </c>
    </row>
    <row r="243" spans="1:10" x14ac:dyDescent="0.35">
      <c r="A243" s="4">
        <v>242</v>
      </c>
      <c r="B243" s="7" t="s">
        <v>35</v>
      </c>
      <c r="C243" s="7" t="s">
        <v>36</v>
      </c>
      <c r="D243">
        <v>17</v>
      </c>
      <c r="E243" t="s">
        <v>11</v>
      </c>
      <c r="F243">
        <f>VLOOKUP(C243,[1]Sheet2!$A$1:$B$73,2,FALSE)</f>
        <v>0.59</v>
      </c>
      <c r="G243" s="5">
        <f t="shared" si="12"/>
        <v>108.64778350315085</v>
      </c>
      <c r="H243" s="5">
        <f t="shared" si="13"/>
        <v>0.10864778350315085</v>
      </c>
      <c r="I243" s="6">
        <f t="shared" si="14"/>
        <v>5.1064458246480898E-2</v>
      </c>
      <c r="J243" s="6">
        <f t="shared" si="15"/>
        <v>0.18723634690376328</v>
      </c>
    </row>
    <row r="244" spans="1:10" x14ac:dyDescent="0.35">
      <c r="A244" s="4">
        <v>243</v>
      </c>
      <c r="B244" s="7" t="s">
        <v>35</v>
      </c>
      <c r="C244" s="7" t="s">
        <v>36</v>
      </c>
      <c r="D244">
        <v>18</v>
      </c>
      <c r="E244" t="s">
        <v>11</v>
      </c>
      <c r="F244">
        <f>VLOOKUP(C244,[1]Sheet2!$A$1:$B$73,2,FALSE)</f>
        <v>0.59</v>
      </c>
      <c r="G244" s="5">
        <f t="shared" si="12"/>
        <v>126.19979811912519</v>
      </c>
      <c r="H244" s="5">
        <f t="shared" si="13"/>
        <v>0.12619979811912518</v>
      </c>
      <c r="I244" s="6">
        <f t="shared" si="14"/>
        <v>5.931390511598883E-2</v>
      </c>
      <c r="J244" s="6">
        <f t="shared" si="15"/>
        <v>0.2174843187586257</v>
      </c>
    </row>
    <row r="245" spans="1:10" x14ac:dyDescent="0.35">
      <c r="A245" s="4">
        <v>244</v>
      </c>
      <c r="B245" s="7" t="s">
        <v>44</v>
      </c>
      <c r="C245" s="7" t="s">
        <v>45</v>
      </c>
      <c r="D245">
        <v>22</v>
      </c>
      <c r="E245" t="s">
        <v>17</v>
      </c>
      <c r="F245">
        <f>VLOOKUP(C245,[1]Sheet2!$A$1:$B$73,2,FALSE)</f>
        <v>0.97</v>
      </c>
      <c r="G245" s="5">
        <f t="shared" si="12"/>
        <v>351.00382018492013</v>
      </c>
      <c r="H245" s="5">
        <f t="shared" si="13"/>
        <v>0.35100382018492016</v>
      </c>
      <c r="I245" s="6">
        <f t="shared" si="14"/>
        <v>0.16497179548691246</v>
      </c>
      <c r="J245" s="6">
        <f t="shared" si="15"/>
        <v>0.60489658345201236</v>
      </c>
    </row>
    <row r="246" spans="1:10" x14ac:dyDescent="0.35">
      <c r="A246" s="4">
        <v>245</v>
      </c>
      <c r="B246" s="7" t="s">
        <v>44</v>
      </c>
      <c r="C246" s="7" t="s">
        <v>45</v>
      </c>
      <c r="D246">
        <v>23</v>
      </c>
      <c r="E246" t="s">
        <v>17</v>
      </c>
      <c r="F246">
        <f>VLOOKUP(C246,[1]Sheet2!$A$1:$B$73,2,FALSE)</f>
        <v>0.97</v>
      </c>
      <c r="G246" s="5">
        <f t="shared" si="12"/>
        <v>394.35863052934729</v>
      </c>
      <c r="H246" s="5">
        <f t="shared" si="13"/>
        <v>0.39435863052934728</v>
      </c>
      <c r="I246" s="6">
        <f t="shared" si="14"/>
        <v>0.18534855634879321</v>
      </c>
      <c r="J246" s="6">
        <f t="shared" si="15"/>
        <v>0.67961137327890841</v>
      </c>
    </row>
    <row r="247" spans="1:10" x14ac:dyDescent="0.35">
      <c r="A247" s="4">
        <v>246</v>
      </c>
      <c r="B247" s="7" t="s">
        <v>53</v>
      </c>
      <c r="C247" s="8" t="s">
        <v>54</v>
      </c>
      <c r="D247">
        <v>25</v>
      </c>
      <c r="E247" t="s">
        <v>17</v>
      </c>
      <c r="F247">
        <f>VLOOKUP(C247,[1]Sheet2!$A$1:$B$73,2,FALSE)</f>
        <v>0.48</v>
      </c>
      <c r="G247" s="5">
        <f t="shared" si="12"/>
        <v>242.79332641793599</v>
      </c>
      <c r="H247" s="5">
        <f t="shared" si="13"/>
        <v>0.242793326417936</v>
      </c>
      <c r="I247" s="6">
        <f t="shared" si="14"/>
        <v>0.11411286341642991</v>
      </c>
      <c r="J247" s="6">
        <f t="shared" si="15"/>
        <v>0.41841383252690967</v>
      </c>
    </row>
    <row r="248" spans="1:10" x14ac:dyDescent="0.35">
      <c r="A248" s="4">
        <v>247</v>
      </c>
      <c r="B248" s="7" t="s">
        <v>55</v>
      </c>
      <c r="C248" s="7" t="s">
        <v>56</v>
      </c>
      <c r="D248">
        <v>18</v>
      </c>
      <c r="E248" t="s">
        <v>11</v>
      </c>
      <c r="F248">
        <f>VLOOKUP(C248,[1]Sheet2!$A$1:$B$73,2,FALSE)</f>
        <v>0.9</v>
      </c>
      <c r="G248" s="5">
        <f t="shared" si="12"/>
        <v>192.50816662239438</v>
      </c>
      <c r="H248" s="5">
        <f t="shared" si="13"/>
        <v>0.19250816662239439</v>
      </c>
      <c r="I248" s="6">
        <f t="shared" si="14"/>
        <v>9.0478838312525359E-2</v>
      </c>
      <c r="J248" s="6">
        <f t="shared" si="15"/>
        <v>0.33175574047925965</v>
      </c>
    </row>
    <row r="249" spans="1:10" x14ac:dyDescent="0.35">
      <c r="A249" s="4">
        <v>248</v>
      </c>
      <c r="B249" s="7" t="s">
        <v>55</v>
      </c>
      <c r="C249" s="7" t="s">
        <v>56</v>
      </c>
      <c r="D249">
        <v>18</v>
      </c>
      <c r="E249" t="s">
        <v>11</v>
      </c>
      <c r="F249">
        <f>VLOOKUP(C249,[1]Sheet2!$A$1:$B$73,2,FALSE)</f>
        <v>0.9</v>
      </c>
      <c r="G249" s="5">
        <f t="shared" si="12"/>
        <v>192.50816662239438</v>
      </c>
      <c r="H249" s="5">
        <f t="shared" si="13"/>
        <v>0.19250816662239439</v>
      </c>
      <c r="I249" s="6">
        <f t="shared" si="14"/>
        <v>9.0478838312525359E-2</v>
      </c>
      <c r="J249" s="6">
        <f t="shared" si="15"/>
        <v>0.33175574047925965</v>
      </c>
    </row>
    <row r="250" spans="1:10" x14ac:dyDescent="0.35">
      <c r="A250" s="4">
        <v>249</v>
      </c>
      <c r="B250" s="7" t="s">
        <v>55</v>
      </c>
      <c r="C250" s="7" t="s">
        <v>56</v>
      </c>
      <c r="D250">
        <v>20</v>
      </c>
      <c r="E250" t="s">
        <v>11</v>
      </c>
      <c r="F250">
        <f>VLOOKUP(C250,[1]Sheet2!$A$1:$B$73,2,FALSE)</f>
        <v>0.9</v>
      </c>
      <c r="G250" s="5">
        <f t="shared" si="12"/>
        <v>253.70777888057984</v>
      </c>
      <c r="H250" s="5">
        <f t="shared" si="13"/>
        <v>0.25370777888057983</v>
      </c>
      <c r="I250" s="6">
        <f t="shared" si="14"/>
        <v>0.11924265607387251</v>
      </c>
      <c r="J250" s="6">
        <f t="shared" si="15"/>
        <v>0.43722307227086582</v>
      </c>
    </row>
    <row r="251" spans="1:10" x14ac:dyDescent="0.35">
      <c r="A251" s="4">
        <v>250</v>
      </c>
      <c r="B251" s="7" t="s">
        <v>55</v>
      </c>
      <c r="C251" s="7" t="s">
        <v>56</v>
      </c>
      <c r="D251">
        <v>22</v>
      </c>
      <c r="E251" t="s">
        <v>17</v>
      </c>
      <c r="F251">
        <f>VLOOKUP(C251,[1]Sheet2!$A$1:$B$73,2,FALSE)</f>
        <v>0.9</v>
      </c>
      <c r="G251" s="5">
        <f t="shared" si="12"/>
        <v>325.67364759425578</v>
      </c>
      <c r="H251" s="5">
        <f t="shared" si="13"/>
        <v>0.32567364759425577</v>
      </c>
      <c r="I251" s="6">
        <f t="shared" si="14"/>
        <v>0.15306661436930019</v>
      </c>
      <c r="J251" s="6">
        <f t="shared" si="15"/>
        <v>0.56124425268743405</v>
      </c>
    </row>
    <row r="252" spans="1:10" x14ac:dyDescent="0.35">
      <c r="A252" s="4">
        <v>251</v>
      </c>
      <c r="B252" s="7" t="s">
        <v>57</v>
      </c>
      <c r="C252" s="7" t="s">
        <v>58</v>
      </c>
      <c r="D252">
        <v>18</v>
      </c>
      <c r="E252" t="s">
        <v>11</v>
      </c>
      <c r="F252">
        <f>VLOOKUP(C252,[1]Sheet2!$A$1:$B$73,2,FALSE)</f>
        <v>0.5</v>
      </c>
      <c r="G252" s="5">
        <f t="shared" si="12"/>
        <v>106.94898145688576</v>
      </c>
      <c r="H252" s="5">
        <f t="shared" si="13"/>
        <v>0.10694898145688576</v>
      </c>
      <c r="I252" s="6">
        <f t="shared" si="14"/>
        <v>5.0266021284736305E-2</v>
      </c>
      <c r="J252" s="6">
        <f t="shared" si="15"/>
        <v>0.18430874471069977</v>
      </c>
    </row>
    <row r="253" spans="1:10" x14ac:dyDescent="0.35">
      <c r="A253" s="4">
        <v>252</v>
      </c>
      <c r="B253" s="7" t="s">
        <v>57</v>
      </c>
      <c r="C253" s="7" t="s">
        <v>58</v>
      </c>
      <c r="D253">
        <v>17</v>
      </c>
      <c r="E253" t="s">
        <v>11</v>
      </c>
      <c r="F253">
        <f>VLOOKUP(C253,[1]Sheet2!$A$1:$B$73,2,FALSE)</f>
        <v>0.5</v>
      </c>
      <c r="G253" s="5">
        <f t="shared" si="12"/>
        <v>92.074392799280389</v>
      </c>
      <c r="H253" s="5">
        <f t="shared" si="13"/>
        <v>9.2074392799280383E-2</v>
      </c>
      <c r="I253" s="6">
        <f t="shared" si="14"/>
        <v>4.3274964615661778E-2</v>
      </c>
      <c r="J253" s="6">
        <f t="shared" si="15"/>
        <v>0.15867487025742652</v>
      </c>
    </row>
    <row r="254" spans="1:10" x14ac:dyDescent="0.35">
      <c r="A254" s="4">
        <v>253</v>
      </c>
      <c r="B254" s="7" t="s">
        <v>57</v>
      </c>
      <c r="C254" s="7" t="s">
        <v>58</v>
      </c>
      <c r="D254">
        <v>21</v>
      </c>
      <c r="E254" t="s">
        <v>17</v>
      </c>
      <c r="F254">
        <f>VLOOKUP(C254,[1]Sheet2!$A$1:$B$73,2,FALSE)</f>
        <v>0.5</v>
      </c>
      <c r="G254" s="5">
        <f t="shared" si="12"/>
        <v>160.16854917157445</v>
      </c>
      <c r="H254" s="5">
        <f t="shared" si="13"/>
        <v>0.16016854917157444</v>
      </c>
      <c r="I254" s="6">
        <f t="shared" si="14"/>
        <v>7.5279218110639978E-2</v>
      </c>
      <c r="J254" s="6">
        <f t="shared" si="15"/>
        <v>0.27602379973901325</v>
      </c>
    </row>
    <row r="255" spans="1:10" x14ac:dyDescent="0.35">
      <c r="A255" s="4">
        <v>254</v>
      </c>
      <c r="B255" s="7" t="s">
        <v>61</v>
      </c>
      <c r="C255" s="7" t="s">
        <v>62</v>
      </c>
      <c r="D255">
        <v>24</v>
      </c>
      <c r="E255" t="s">
        <v>17</v>
      </c>
      <c r="F255">
        <f>VLOOKUP(C255,[1]Sheet2!$A$1:$B$73,2,FALSE)</f>
        <v>0.9</v>
      </c>
      <c r="G255" s="5">
        <f t="shared" si="12"/>
        <v>409.06153893326876</v>
      </c>
      <c r="H255" s="5">
        <f t="shared" si="13"/>
        <v>0.40906153893326874</v>
      </c>
      <c r="I255" s="6">
        <f t="shared" si="14"/>
        <v>0.19225892329863631</v>
      </c>
      <c r="J255" s="6">
        <f t="shared" si="15"/>
        <v>0.70494938542833308</v>
      </c>
    </row>
    <row r="256" spans="1:10" x14ac:dyDescent="0.35">
      <c r="A256" s="4">
        <v>255</v>
      </c>
      <c r="B256" s="7" t="s">
        <v>73</v>
      </c>
      <c r="C256" s="7" t="s">
        <v>74</v>
      </c>
      <c r="D256">
        <v>22</v>
      </c>
      <c r="E256" t="s">
        <v>17</v>
      </c>
      <c r="F256">
        <f>VLOOKUP(C256,[1]Sheet2!$A$1:$B$73,2,FALSE)</f>
        <v>0.58799999999999997</v>
      </c>
      <c r="G256" s="5">
        <f t="shared" si="12"/>
        <v>212.77344976158045</v>
      </c>
      <c r="H256" s="5">
        <f t="shared" si="13"/>
        <v>0.21277344976158044</v>
      </c>
      <c r="I256" s="6">
        <f t="shared" si="14"/>
        <v>0.1000035213879428</v>
      </c>
      <c r="J256" s="6">
        <f t="shared" si="15"/>
        <v>0.36667957842245691</v>
      </c>
    </row>
    <row r="257" spans="1:10" x14ac:dyDescent="0.35">
      <c r="A257" s="4">
        <v>256</v>
      </c>
      <c r="B257" s="7" t="s">
        <v>73</v>
      </c>
      <c r="C257" s="7" t="s">
        <v>74</v>
      </c>
      <c r="D257">
        <v>25</v>
      </c>
      <c r="E257" t="s">
        <v>17</v>
      </c>
      <c r="F257">
        <f>VLOOKUP(C257,[1]Sheet2!$A$1:$B$73,2,FALSE)</f>
        <v>0.58799999999999997</v>
      </c>
      <c r="G257" s="5">
        <f t="shared" si="12"/>
        <v>297.42182486197157</v>
      </c>
      <c r="H257" s="5">
        <f t="shared" si="13"/>
        <v>0.29742182486197155</v>
      </c>
      <c r="I257" s="6">
        <f t="shared" si="14"/>
        <v>0.13978825768512662</v>
      </c>
      <c r="J257" s="6">
        <f t="shared" si="15"/>
        <v>0.51255694484546421</v>
      </c>
    </row>
    <row r="258" spans="1:10" x14ac:dyDescent="0.35">
      <c r="A258" s="4">
        <v>257</v>
      </c>
      <c r="B258" s="7" t="s">
        <v>77</v>
      </c>
      <c r="C258" s="7" t="s">
        <v>78</v>
      </c>
      <c r="D258">
        <v>18</v>
      </c>
      <c r="E258" t="s">
        <v>11</v>
      </c>
      <c r="F258">
        <f>VLOOKUP(C258,[1]Sheet2!$A$1:$B$73,2,FALSE)</f>
        <v>0.64</v>
      </c>
      <c r="G258" s="5">
        <f t="shared" ref="G258:G276" si="16">0.11*F258*(D258^2.62)</f>
        <v>136.89469626481377</v>
      </c>
      <c r="H258" s="5">
        <f t="shared" si="13"/>
        <v>0.13689469626481376</v>
      </c>
      <c r="I258" s="6">
        <f t="shared" si="14"/>
        <v>6.4340507244462469E-2</v>
      </c>
      <c r="J258" s="6">
        <f t="shared" si="15"/>
        <v>0.2359151932296957</v>
      </c>
    </row>
    <row r="259" spans="1:10" x14ac:dyDescent="0.35">
      <c r="A259" s="4">
        <v>258</v>
      </c>
      <c r="B259" s="7" t="s">
        <v>77</v>
      </c>
      <c r="C259" s="7" t="s">
        <v>78</v>
      </c>
      <c r="D259">
        <v>20</v>
      </c>
      <c r="E259" t="s">
        <v>11</v>
      </c>
      <c r="F259">
        <f>VLOOKUP(C259,[1]Sheet2!$A$1:$B$73,2,FALSE)</f>
        <v>0.64</v>
      </c>
      <c r="G259" s="5">
        <f t="shared" si="16"/>
        <v>180.41442053730123</v>
      </c>
      <c r="H259" s="5">
        <f t="shared" ref="H259:H276" si="17">G259/1000</f>
        <v>0.18041442053730122</v>
      </c>
      <c r="I259" s="6">
        <f t="shared" ref="I259:I276" si="18">H259*0.47</f>
        <v>8.4794777652531572E-2</v>
      </c>
      <c r="J259" s="6">
        <f t="shared" ref="J259:J276" si="19">I259*(44/12)</f>
        <v>0.31091418472594906</v>
      </c>
    </row>
    <row r="260" spans="1:10" x14ac:dyDescent="0.35">
      <c r="A260" s="4">
        <v>259</v>
      </c>
      <c r="B260" s="7" t="s">
        <v>79</v>
      </c>
      <c r="C260" s="7" t="s">
        <v>80</v>
      </c>
      <c r="D260">
        <v>18</v>
      </c>
      <c r="E260" t="s">
        <v>11</v>
      </c>
      <c r="F260">
        <f>VLOOKUP(C260,[1]Sheet2!$A$1:$B$73,2,FALSE)</f>
        <v>0.87</v>
      </c>
      <c r="G260" s="5">
        <f t="shared" si="16"/>
        <v>186.0912277349812</v>
      </c>
      <c r="H260" s="5">
        <f t="shared" si="17"/>
        <v>0.18609122773498121</v>
      </c>
      <c r="I260" s="6">
        <f t="shared" si="18"/>
        <v>8.7462877035441158E-2</v>
      </c>
      <c r="J260" s="6">
        <f t="shared" si="19"/>
        <v>0.32069721579661759</v>
      </c>
    </row>
    <row r="261" spans="1:10" x14ac:dyDescent="0.35">
      <c r="A261" s="4">
        <v>260</v>
      </c>
      <c r="B261" s="7" t="s">
        <v>81</v>
      </c>
      <c r="C261" s="8" t="s">
        <v>82</v>
      </c>
      <c r="D261">
        <v>22</v>
      </c>
      <c r="E261" t="s">
        <v>17</v>
      </c>
      <c r="F261">
        <f>VLOOKUP(C261,[1]Sheet2!$A$1:$B$73,2,FALSE)</f>
        <v>0.54</v>
      </c>
      <c r="G261" s="5">
        <f t="shared" si="16"/>
        <v>195.40418855655346</v>
      </c>
      <c r="H261" s="5">
        <f t="shared" si="17"/>
        <v>0.19540418855655348</v>
      </c>
      <c r="I261" s="6">
        <f t="shared" si="18"/>
        <v>9.1839968621580129E-2</v>
      </c>
      <c r="J261" s="6">
        <f t="shared" si="19"/>
        <v>0.33674655161246048</v>
      </c>
    </row>
    <row r="262" spans="1:10" x14ac:dyDescent="0.35">
      <c r="A262" s="4">
        <v>261</v>
      </c>
      <c r="B262" s="7" t="s">
        <v>79</v>
      </c>
      <c r="C262" s="7" t="s">
        <v>80</v>
      </c>
      <c r="D262">
        <v>20</v>
      </c>
      <c r="E262" t="s">
        <v>11</v>
      </c>
      <c r="F262">
        <f>VLOOKUP(C262,[1]Sheet2!$A$1:$B$73,2,FALSE)</f>
        <v>0.87</v>
      </c>
      <c r="G262" s="5">
        <f t="shared" si="16"/>
        <v>245.25085291789381</v>
      </c>
      <c r="H262" s="5">
        <f t="shared" si="17"/>
        <v>0.24525085291789381</v>
      </c>
      <c r="I262" s="6">
        <f t="shared" si="18"/>
        <v>0.11526790087141009</v>
      </c>
      <c r="J262" s="6">
        <f t="shared" si="19"/>
        <v>0.42264896986183698</v>
      </c>
    </row>
    <row r="263" spans="1:10" x14ac:dyDescent="0.35">
      <c r="A263" s="4">
        <v>262</v>
      </c>
      <c r="B263" s="7" t="s">
        <v>104</v>
      </c>
      <c r="C263" s="7" t="s">
        <v>105</v>
      </c>
      <c r="D263">
        <v>18</v>
      </c>
      <c r="E263" t="s">
        <v>11</v>
      </c>
      <c r="F263">
        <f>VLOOKUP(C263,[1]Sheet2!$A$1:$B$73,2,FALSE)</f>
        <v>0.7</v>
      </c>
      <c r="G263" s="5">
        <f t="shared" si="16"/>
        <v>149.72857403964005</v>
      </c>
      <c r="H263" s="5">
        <f t="shared" si="17"/>
        <v>0.14972857403964004</v>
      </c>
      <c r="I263" s="6">
        <f t="shared" si="18"/>
        <v>7.0372429798630814E-2</v>
      </c>
      <c r="J263" s="6">
        <f t="shared" si="19"/>
        <v>0.25803224259497964</v>
      </c>
    </row>
    <row r="264" spans="1:10" x14ac:dyDescent="0.35">
      <c r="A264" s="4">
        <v>263</v>
      </c>
      <c r="B264" s="7" t="s">
        <v>104</v>
      </c>
      <c r="C264" s="7" t="s">
        <v>105</v>
      </c>
      <c r="D264">
        <v>17</v>
      </c>
      <c r="E264" t="s">
        <v>11</v>
      </c>
      <c r="F264">
        <f>VLOOKUP(C264,[1]Sheet2!$A$1:$B$73,2,FALSE)</f>
        <v>0.7</v>
      </c>
      <c r="G264" s="5">
        <f t="shared" si="16"/>
        <v>128.90414991899254</v>
      </c>
      <c r="H264" s="5">
        <f t="shared" si="17"/>
        <v>0.12890414991899254</v>
      </c>
      <c r="I264" s="6">
        <f t="shared" si="18"/>
        <v>6.0584950461926496E-2</v>
      </c>
      <c r="J264" s="6">
        <f t="shared" si="19"/>
        <v>0.22214481836039715</v>
      </c>
    </row>
    <row r="265" spans="1:10" x14ac:dyDescent="0.35">
      <c r="A265" s="4">
        <v>264</v>
      </c>
      <c r="B265" s="7" t="s">
        <v>104</v>
      </c>
      <c r="C265" s="7" t="s">
        <v>105</v>
      </c>
      <c r="D265">
        <v>15</v>
      </c>
      <c r="E265" t="s">
        <v>11</v>
      </c>
      <c r="F265">
        <f>VLOOKUP(C265,[1]Sheet2!$A$1:$B$73,2,FALSE)</f>
        <v>0.7</v>
      </c>
      <c r="G265" s="5">
        <f t="shared" si="16"/>
        <v>92.864521200441075</v>
      </c>
      <c r="H265" s="5">
        <f t="shared" si="17"/>
        <v>9.2864521200441072E-2</v>
      </c>
      <c r="I265" s="6">
        <f t="shared" si="18"/>
        <v>4.3646324964207305E-2</v>
      </c>
      <c r="J265" s="6">
        <f t="shared" si="19"/>
        <v>0.1600365248687601</v>
      </c>
    </row>
    <row r="266" spans="1:10" x14ac:dyDescent="0.35">
      <c r="A266" s="4">
        <v>265</v>
      </c>
      <c r="B266" s="7" t="s">
        <v>104</v>
      </c>
      <c r="C266" s="7" t="s">
        <v>105</v>
      </c>
      <c r="D266">
        <v>18</v>
      </c>
      <c r="E266" t="s">
        <v>11</v>
      </c>
      <c r="F266">
        <f>VLOOKUP(C266,[1]Sheet2!$A$1:$B$73,2,FALSE)</f>
        <v>0.7</v>
      </c>
      <c r="G266" s="5">
        <f t="shared" si="16"/>
        <v>149.72857403964005</v>
      </c>
      <c r="H266" s="5">
        <f t="shared" si="17"/>
        <v>0.14972857403964004</v>
      </c>
      <c r="I266" s="6">
        <f t="shared" si="18"/>
        <v>7.0372429798630814E-2</v>
      </c>
      <c r="J266" s="6">
        <f t="shared" si="19"/>
        <v>0.25803224259497964</v>
      </c>
    </row>
    <row r="267" spans="1:10" x14ac:dyDescent="0.35">
      <c r="A267" s="4">
        <v>266</v>
      </c>
      <c r="B267" s="7" t="s">
        <v>104</v>
      </c>
      <c r="C267" s="7" t="s">
        <v>105</v>
      </c>
      <c r="D267">
        <v>15</v>
      </c>
      <c r="E267" t="s">
        <v>11</v>
      </c>
      <c r="F267">
        <f>VLOOKUP(C267,[1]Sheet2!$A$1:$B$73,2,FALSE)</f>
        <v>0.7</v>
      </c>
      <c r="G267" s="5">
        <f t="shared" si="16"/>
        <v>92.864521200441075</v>
      </c>
      <c r="H267" s="5">
        <f t="shared" si="17"/>
        <v>9.2864521200441072E-2</v>
      </c>
      <c r="I267" s="6">
        <f t="shared" si="18"/>
        <v>4.3646324964207305E-2</v>
      </c>
      <c r="J267" s="6">
        <f t="shared" si="19"/>
        <v>0.1600365248687601</v>
      </c>
    </row>
    <row r="268" spans="1:10" x14ac:dyDescent="0.35">
      <c r="A268" s="4">
        <v>267</v>
      </c>
      <c r="B268" s="7" t="s">
        <v>104</v>
      </c>
      <c r="C268" s="7" t="s">
        <v>105</v>
      </c>
      <c r="D268">
        <v>19</v>
      </c>
      <c r="E268" t="s">
        <v>11</v>
      </c>
      <c r="F268">
        <f>VLOOKUP(C268,[1]Sheet2!$A$1:$B$73,2,FALSE)</f>
        <v>0.7</v>
      </c>
      <c r="G268" s="5">
        <f t="shared" si="16"/>
        <v>172.51432358294394</v>
      </c>
      <c r="H268" s="5">
        <f t="shared" si="17"/>
        <v>0.17251432358294394</v>
      </c>
      <c r="I268" s="6">
        <f t="shared" si="18"/>
        <v>8.1081732083983643E-2</v>
      </c>
      <c r="J268" s="6">
        <f t="shared" si="19"/>
        <v>0.29729968430794002</v>
      </c>
    </row>
    <row r="269" spans="1:10" x14ac:dyDescent="0.35">
      <c r="A269" s="4">
        <v>268</v>
      </c>
      <c r="B269" s="7" t="s">
        <v>106</v>
      </c>
      <c r="C269" s="8" t="s">
        <v>82</v>
      </c>
      <c r="D269">
        <v>20</v>
      </c>
      <c r="E269" t="s">
        <v>11</v>
      </c>
      <c r="F269">
        <f>VLOOKUP(C269,[1]Sheet2!$A$1:$B$73,2,FALSE)</f>
        <v>0.54</v>
      </c>
      <c r="G269" s="5">
        <f t="shared" si="16"/>
        <v>152.22466732834789</v>
      </c>
      <c r="H269" s="5">
        <f t="shared" si="17"/>
        <v>0.15222466732834788</v>
      </c>
      <c r="I269" s="6">
        <f t="shared" si="18"/>
        <v>7.1545593644323502E-2</v>
      </c>
      <c r="J269" s="6">
        <f t="shared" si="19"/>
        <v>0.26233384336251947</v>
      </c>
    </row>
    <row r="270" spans="1:10" x14ac:dyDescent="0.35">
      <c r="A270" s="4">
        <v>269</v>
      </c>
      <c r="B270" s="7" t="s">
        <v>107</v>
      </c>
      <c r="C270" s="7" t="s">
        <v>108</v>
      </c>
      <c r="D270">
        <v>21</v>
      </c>
      <c r="E270" t="s">
        <v>17</v>
      </c>
      <c r="F270">
        <v>0.51</v>
      </c>
      <c r="G270" s="5">
        <f t="shared" si="16"/>
        <v>163.37192015500597</v>
      </c>
      <c r="H270" s="5">
        <f t="shared" si="17"/>
        <v>0.16337192015500596</v>
      </c>
      <c r="I270" s="6">
        <f t="shared" si="18"/>
        <v>7.6784802472852798E-2</v>
      </c>
      <c r="J270" s="6">
        <f t="shared" si="19"/>
        <v>0.28154427573379359</v>
      </c>
    </row>
    <row r="271" spans="1:10" x14ac:dyDescent="0.35">
      <c r="A271" s="4">
        <v>270</v>
      </c>
      <c r="B271" s="7" t="s">
        <v>109</v>
      </c>
      <c r="C271" s="7" t="s">
        <v>110</v>
      </c>
      <c r="D271">
        <v>22</v>
      </c>
      <c r="E271" t="s">
        <v>17</v>
      </c>
      <c r="F271">
        <f>VLOOKUP(C271,[1]Sheet2!$A$1:$B$73,2,FALSE)</f>
        <v>0.92</v>
      </c>
      <c r="G271" s="5">
        <f t="shared" si="16"/>
        <v>332.91083976301701</v>
      </c>
      <c r="H271" s="5">
        <f t="shared" si="17"/>
        <v>0.332910839763017</v>
      </c>
      <c r="I271" s="6">
        <f t="shared" si="18"/>
        <v>0.15646809468861797</v>
      </c>
      <c r="J271" s="6">
        <f t="shared" si="19"/>
        <v>0.57371634719159925</v>
      </c>
    </row>
    <row r="272" spans="1:10" x14ac:dyDescent="0.35">
      <c r="A272" s="4">
        <v>271</v>
      </c>
      <c r="B272" s="7" t="s">
        <v>53</v>
      </c>
      <c r="C272" s="7" t="s">
        <v>111</v>
      </c>
      <c r="D272">
        <v>24</v>
      </c>
      <c r="E272" t="s">
        <v>17</v>
      </c>
      <c r="F272">
        <v>0.4</v>
      </c>
      <c r="G272" s="5">
        <f t="shared" si="16"/>
        <v>181.80512841478614</v>
      </c>
      <c r="H272" s="5">
        <f t="shared" si="17"/>
        <v>0.18180512841478613</v>
      </c>
      <c r="I272" s="6">
        <f t="shared" si="18"/>
        <v>8.5448410354949475E-2</v>
      </c>
      <c r="J272" s="6">
        <f t="shared" si="19"/>
        <v>0.31331083796814807</v>
      </c>
    </row>
    <row r="273" spans="1:10" x14ac:dyDescent="0.35">
      <c r="A273" s="4">
        <v>272</v>
      </c>
      <c r="B273" s="7" t="s">
        <v>112</v>
      </c>
      <c r="C273" s="7" t="s">
        <v>113</v>
      </c>
      <c r="D273">
        <v>24</v>
      </c>
      <c r="E273" t="s">
        <v>17</v>
      </c>
      <c r="F273">
        <f>VLOOKUP(C273,[1]Sheet2!$A$1:$B$73,2,FALSE)</f>
        <v>0.495</v>
      </c>
      <c r="G273" s="5">
        <f t="shared" si="16"/>
        <v>224.98384641329781</v>
      </c>
      <c r="H273" s="5">
        <f t="shared" si="17"/>
        <v>0.2249838464132978</v>
      </c>
      <c r="I273" s="6">
        <f t="shared" si="18"/>
        <v>0.10574240781424996</v>
      </c>
      <c r="J273" s="6">
        <f t="shared" si="19"/>
        <v>0.38772216198558318</v>
      </c>
    </row>
    <row r="274" spans="1:10" x14ac:dyDescent="0.35">
      <c r="A274" s="4">
        <v>273</v>
      </c>
      <c r="B274" s="7" t="s">
        <v>112</v>
      </c>
      <c r="C274" s="7" t="s">
        <v>113</v>
      </c>
      <c r="D274">
        <v>23</v>
      </c>
      <c r="E274" t="s">
        <v>17</v>
      </c>
      <c r="F274">
        <f>VLOOKUP(C274,[1]Sheet2!$A$1:$B$73,2,FALSE)</f>
        <v>0.495</v>
      </c>
      <c r="G274" s="5">
        <f t="shared" si="16"/>
        <v>201.24486815672876</v>
      </c>
      <c r="H274" s="5">
        <f t="shared" si="17"/>
        <v>0.20124486815672876</v>
      </c>
      <c r="I274" s="6">
        <f t="shared" si="18"/>
        <v>9.4585088033662515E-2</v>
      </c>
      <c r="J274" s="6">
        <f t="shared" si="19"/>
        <v>0.34681198945676256</v>
      </c>
    </row>
    <row r="275" spans="1:10" x14ac:dyDescent="0.35">
      <c r="A275" s="4">
        <v>274</v>
      </c>
      <c r="B275" s="7" t="s">
        <v>112</v>
      </c>
      <c r="C275" s="7" t="s">
        <v>113</v>
      </c>
      <c r="D275">
        <v>21</v>
      </c>
      <c r="E275" t="s">
        <v>17</v>
      </c>
      <c r="F275">
        <f>VLOOKUP(C275,[1]Sheet2!$A$1:$B$73,2,FALSE)</f>
        <v>0.495</v>
      </c>
      <c r="G275" s="5">
        <f t="shared" si="16"/>
        <v>158.5668636798587</v>
      </c>
      <c r="H275" s="5">
        <f t="shared" si="17"/>
        <v>0.1585668636798587</v>
      </c>
      <c r="I275" s="6">
        <f t="shared" si="18"/>
        <v>7.4526425929533582E-2</v>
      </c>
      <c r="J275" s="6">
        <f t="shared" si="19"/>
        <v>0.27326356174162314</v>
      </c>
    </row>
    <row r="276" spans="1:10" x14ac:dyDescent="0.35">
      <c r="A276" s="4">
        <v>275</v>
      </c>
      <c r="B276" s="7" t="s">
        <v>112</v>
      </c>
      <c r="C276" s="7" t="s">
        <v>113</v>
      </c>
      <c r="D276">
        <v>22</v>
      </c>
      <c r="E276" t="s">
        <v>17</v>
      </c>
      <c r="F276">
        <f>VLOOKUP(C276,[1]Sheet2!$A$1:$B$73,2,FALSE)</f>
        <v>0.495</v>
      </c>
      <c r="G276" s="5">
        <f t="shared" si="16"/>
        <v>179.12050617684068</v>
      </c>
      <c r="H276" s="5">
        <f t="shared" si="17"/>
        <v>0.17912050617684067</v>
      </c>
      <c r="I276" s="6">
        <f t="shared" si="18"/>
        <v>8.4186637903115105E-2</v>
      </c>
      <c r="J276" s="6">
        <f t="shared" si="19"/>
        <v>0.30868433897808872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Nurmala</dc:creator>
  <cp:lastModifiedBy>Devi Nurmala</cp:lastModifiedBy>
  <dcterms:created xsi:type="dcterms:W3CDTF">2026-10-21T07:04:38Z</dcterms:created>
  <dcterms:modified xsi:type="dcterms:W3CDTF">2026-10-21T07:12:28Z</dcterms:modified>
</cp:coreProperties>
</file>