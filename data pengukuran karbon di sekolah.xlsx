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nda\"/>
    </mc:Choice>
  </mc:AlternateContent>
  <xr:revisionPtr revIDLastSave="0" documentId="13_ncr:1_{FB8DACA2-8060-4983-80AA-37D2A688093E}" xr6:coauthVersionLast="47" xr6:coauthVersionMax="47" xr10:uidLastSave="{00000000-0000-0000-0000-000000000000}"/>
  <bookViews>
    <workbookView xWindow="-110" yWindow="-110" windowWidth="19420" windowHeight="10300" xr2:uid="{33F4172E-CFE0-4CDA-B840-07AF140ACD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6" i="1"/>
  <c r="H6" i="1"/>
  <c r="I6" i="1"/>
  <c r="J6" i="1"/>
  <c r="G14" i="1"/>
  <c r="H14" i="1" s="1"/>
  <c r="I14" i="1" s="1"/>
  <c r="J14" i="1" s="1"/>
  <c r="G18" i="1"/>
  <c r="H18" i="1" s="1"/>
  <c r="I18" i="1" s="1"/>
  <c r="J18" i="1" s="1"/>
  <c r="G20" i="1"/>
  <c r="H20" i="1"/>
  <c r="I20" i="1"/>
  <c r="J20" i="1"/>
  <c r="G21" i="1"/>
  <c r="H21" i="1" s="1"/>
  <c r="I21" i="1" s="1"/>
  <c r="J21" i="1" s="1"/>
  <c r="G22" i="1"/>
  <c r="H22" i="1" s="1"/>
  <c r="I22" i="1" s="1"/>
  <c r="J22" i="1" s="1"/>
  <c r="G23" i="1"/>
  <c r="H23" i="1" s="1"/>
  <c r="I23" i="1" s="1"/>
  <c r="J23" i="1" s="1"/>
  <c r="G24" i="1"/>
  <c r="H24" i="1" s="1"/>
  <c r="I24" i="1" s="1"/>
  <c r="J24" i="1" s="1"/>
  <c r="G30" i="1"/>
  <c r="H30" i="1" s="1"/>
  <c r="I30" i="1" s="1"/>
  <c r="J30" i="1" s="1"/>
  <c r="G32" i="1"/>
  <c r="H32" i="1" s="1"/>
  <c r="I32" i="1" s="1"/>
  <c r="J32" i="1" s="1"/>
  <c r="G34" i="1"/>
  <c r="H34" i="1" s="1"/>
  <c r="I34" i="1" s="1"/>
  <c r="J34" i="1" s="1"/>
  <c r="G35" i="1"/>
  <c r="H35" i="1" s="1"/>
  <c r="I35" i="1" s="1"/>
  <c r="J35" i="1" s="1"/>
  <c r="G37" i="1"/>
  <c r="H37" i="1" s="1"/>
  <c r="I37" i="1" s="1"/>
  <c r="J37" i="1" s="1"/>
  <c r="G39" i="1"/>
  <c r="H39" i="1" s="1"/>
  <c r="I39" i="1" s="1"/>
  <c r="J39" i="1" s="1"/>
  <c r="G2" i="1"/>
  <c r="H2" i="1" s="1"/>
  <c r="I2" i="1" s="1"/>
  <c r="J2" i="1" s="1"/>
  <c r="F25" i="1"/>
  <c r="G25" i="1" s="1"/>
  <c r="H25" i="1" s="1"/>
  <c r="I25" i="1" s="1"/>
  <c r="J25" i="1" s="1"/>
  <c r="F26" i="1"/>
  <c r="G26" i="1" s="1"/>
  <c r="H26" i="1" s="1"/>
  <c r="I26" i="1" s="1"/>
  <c r="J26" i="1" s="1"/>
  <c r="F27" i="1"/>
  <c r="G27" i="1" s="1"/>
  <c r="H27" i="1" s="1"/>
  <c r="I27" i="1" s="1"/>
  <c r="J27" i="1" s="1"/>
  <c r="F28" i="1"/>
  <c r="G28" i="1" s="1"/>
  <c r="H28" i="1" s="1"/>
  <c r="I28" i="1" s="1"/>
  <c r="J28" i="1" s="1"/>
  <c r="F29" i="1"/>
  <c r="G29" i="1" s="1"/>
  <c r="H29" i="1" s="1"/>
  <c r="I29" i="1" s="1"/>
  <c r="J29" i="1" s="1"/>
  <c r="F31" i="1"/>
  <c r="G31" i="1" s="1"/>
  <c r="H31" i="1" s="1"/>
  <c r="I31" i="1" s="1"/>
  <c r="J31" i="1" s="1"/>
  <c r="F33" i="1"/>
  <c r="G33" i="1" s="1"/>
  <c r="H33" i="1" s="1"/>
  <c r="I33" i="1" s="1"/>
  <c r="J33" i="1" s="1"/>
  <c r="F36" i="1"/>
  <c r="G36" i="1" s="1"/>
  <c r="H36" i="1" s="1"/>
  <c r="I36" i="1" s="1"/>
  <c r="J36" i="1" s="1"/>
  <c r="F38" i="1"/>
  <c r="G38" i="1" s="1"/>
  <c r="H38" i="1" s="1"/>
  <c r="I38" i="1" s="1"/>
  <c r="J38" i="1" s="1"/>
  <c r="F11" i="1"/>
  <c r="G11" i="1" s="1"/>
  <c r="H11" i="1" s="1"/>
  <c r="I11" i="1" s="1"/>
  <c r="J11" i="1" s="1"/>
  <c r="F12" i="1"/>
  <c r="G12" i="1" s="1"/>
  <c r="H12" i="1" s="1"/>
  <c r="I12" i="1" s="1"/>
  <c r="J12" i="1" s="1"/>
  <c r="F13" i="1"/>
  <c r="G13" i="1" s="1"/>
  <c r="H13" i="1" s="1"/>
  <c r="I13" i="1" s="1"/>
  <c r="J13" i="1" s="1"/>
  <c r="F15" i="1"/>
  <c r="G15" i="1" s="1"/>
  <c r="H15" i="1" s="1"/>
  <c r="I15" i="1" s="1"/>
  <c r="J15" i="1" s="1"/>
  <c r="F16" i="1"/>
  <c r="G16" i="1" s="1"/>
  <c r="H16" i="1" s="1"/>
  <c r="I16" i="1" s="1"/>
  <c r="J16" i="1" s="1"/>
  <c r="F17" i="1"/>
  <c r="G17" i="1" s="1"/>
  <c r="H17" i="1" s="1"/>
  <c r="I17" i="1" s="1"/>
  <c r="J17" i="1" s="1"/>
  <c r="F19" i="1"/>
  <c r="G19" i="1" s="1"/>
  <c r="H19" i="1" s="1"/>
  <c r="I19" i="1" s="1"/>
  <c r="J19" i="1" s="1"/>
  <c r="F5" i="1"/>
  <c r="G5" i="1" s="1"/>
  <c r="H5" i="1" s="1"/>
  <c r="I5" i="1" s="1"/>
  <c r="J5" i="1" s="1"/>
  <c r="F7" i="1"/>
  <c r="G7" i="1" s="1"/>
  <c r="H7" i="1" s="1"/>
  <c r="I7" i="1" s="1"/>
  <c r="J7" i="1" s="1"/>
  <c r="F8" i="1"/>
  <c r="G8" i="1" s="1"/>
  <c r="H8" i="1" s="1"/>
  <c r="I8" i="1" s="1"/>
  <c r="J8" i="1" s="1"/>
  <c r="F9" i="1"/>
  <c r="G9" i="1" s="1"/>
  <c r="H9" i="1" s="1"/>
  <c r="I9" i="1" s="1"/>
  <c r="J9" i="1" s="1"/>
  <c r="F10" i="1"/>
  <c r="G10" i="1" s="1"/>
  <c r="H10" i="1" s="1"/>
  <c r="I10" i="1" s="1"/>
  <c r="J10" i="1" s="1"/>
</calcChain>
</file>

<file path=xl/sharedStrings.xml><?xml version="1.0" encoding="utf-8"?>
<sst xmlns="http://schemas.openxmlformats.org/spreadsheetml/2006/main" count="182" uniqueCount="131">
  <si>
    <t>Nama Jenis</t>
  </si>
  <si>
    <t>Nama Latin</t>
  </si>
  <si>
    <t>Diameter</t>
  </si>
  <si>
    <t>Berat Jenis</t>
  </si>
  <si>
    <t>AGB (kg)</t>
  </si>
  <si>
    <t>AGB (Ton)</t>
  </si>
  <si>
    <t>Serapan Karbon (ton CO2e)</t>
  </si>
  <si>
    <t>Shorea laevis</t>
  </si>
  <si>
    <t>Meranti</t>
  </si>
  <si>
    <t>Shorea leprosula</t>
  </si>
  <si>
    <t>Bintangur</t>
  </si>
  <si>
    <t>Calophyllum inophyllum</t>
  </si>
  <si>
    <t>Tanjung</t>
  </si>
  <si>
    <t>Mimusops elengi</t>
  </si>
  <si>
    <t>Eusideroxylon zwageri</t>
  </si>
  <si>
    <t>Kapur</t>
  </si>
  <si>
    <t>Dryobalanops aromatica</t>
  </si>
  <si>
    <t>Durian</t>
  </si>
  <si>
    <t>Durio zibethinus</t>
  </si>
  <si>
    <t>Cemara laut</t>
  </si>
  <si>
    <t>Balangeran</t>
  </si>
  <si>
    <t>Shorea balangeran</t>
  </si>
  <si>
    <t>Ficus benjamina</t>
  </si>
  <si>
    <t>Ketapang kencana</t>
  </si>
  <si>
    <t>Terminalia mantaly</t>
  </si>
  <si>
    <t>Eboni</t>
  </si>
  <si>
    <t>Diospyros celebica</t>
  </si>
  <si>
    <t>Pulai</t>
  </si>
  <si>
    <t>Alstonia scholaris</t>
  </si>
  <si>
    <t>Agathis borneensis</t>
  </si>
  <si>
    <t>Rambutan</t>
  </si>
  <si>
    <t>Nephelium lappaceum</t>
  </si>
  <si>
    <t>Mangga</t>
  </si>
  <si>
    <t>Mangifera indica</t>
  </si>
  <si>
    <t>Persea americana</t>
  </si>
  <si>
    <t>Garcinia mangostana</t>
  </si>
  <si>
    <t>Psidium aqueum</t>
  </si>
  <si>
    <t>Psidium guajava</t>
  </si>
  <si>
    <t>Tectona grandis</t>
  </si>
  <si>
    <t>Sungkai</t>
  </si>
  <si>
    <t>Peronema canescens</t>
  </si>
  <si>
    <t>Abrus precatorius</t>
  </si>
  <si>
    <t>Mahoni</t>
  </si>
  <si>
    <t>Swietenia macrophylla</t>
  </si>
  <si>
    <t>Kuku</t>
  </si>
  <si>
    <t>Pericopsis mooniana</t>
  </si>
  <si>
    <t>Artocarpus heterophyllus</t>
  </si>
  <si>
    <t>Manilkara zapota</t>
  </si>
  <si>
    <t>Leucaena leucocephala</t>
  </si>
  <si>
    <t>Pometia pinnata</t>
  </si>
  <si>
    <t>Falcataria moluccana</t>
  </si>
  <si>
    <t>Jambu bol</t>
  </si>
  <si>
    <t>Syzygium malaccense</t>
  </si>
  <si>
    <t xml:space="preserve">Neolamarckia cadamba  </t>
  </si>
  <si>
    <t>Gmelina arborea</t>
  </si>
  <si>
    <t>Dimocarpus longan</t>
  </si>
  <si>
    <t>Gaharu</t>
  </si>
  <si>
    <t>Aquilaria malaccensis</t>
  </si>
  <si>
    <t>Sterculia foetida</t>
  </si>
  <si>
    <t>Tinggi</t>
  </si>
  <si>
    <t>Damar</t>
  </si>
  <si>
    <t>Lengkeng</t>
  </si>
  <si>
    <t>Dimocarpis longan</t>
  </si>
  <si>
    <t xml:space="preserve">Casuarina equisetifolia </t>
  </si>
  <si>
    <t>Switenia mahagoni</t>
  </si>
  <si>
    <t>Aquilaria malacensis</t>
  </si>
  <si>
    <t>Kweni</t>
  </si>
  <si>
    <t>Mangifera odorata</t>
  </si>
  <si>
    <t>BJ</t>
  </si>
  <si>
    <t>Duabanga moluccana</t>
  </si>
  <si>
    <t>Macaranga gigantea</t>
  </si>
  <si>
    <t>Macaranga sp.</t>
  </si>
  <si>
    <t>Campnosperma auriculata</t>
  </si>
  <si>
    <t>Prunus javanica</t>
  </si>
  <si>
    <t>Macaranga triloba</t>
  </si>
  <si>
    <t xml:space="preserve">Archidendron bubalinum </t>
  </si>
  <si>
    <t>Dillenia suffruticosa</t>
  </si>
  <si>
    <t>Litsea firma</t>
  </si>
  <si>
    <t>Litsea sp.</t>
  </si>
  <si>
    <t>Cratoxylum arborescens</t>
  </si>
  <si>
    <t>Artocarpus elasticus</t>
  </si>
  <si>
    <t>Hevea brasiliensis</t>
  </si>
  <si>
    <t>Pertusadina eurhyncha</t>
  </si>
  <si>
    <t>Shorea smithiana</t>
  </si>
  <si>
    <t>Vernonea arborea</t>
  </si>
  <si>
    <t>Vernonia arborea</t>
  </si>
  <si>
    <t>Pentace laxiflora</t>
  </si>
  <si>
    <t>Acacia mangium</t>
  </si>
  <si>
    <t>Canarium sp.</t>
  </si>
  <si>
    <t>Dacryodes rostrata</t>
  </si>
  <si>
    <t>Leucaena glauca</t>
  </si>
  <si>
    <t>Artocarpus rigidus</t>
  </si>
  <si>
    <t>Artocarpus sp.</t>
  </si>
  <si>
    <t>Pternandra rostrata</t>
  </si>
  <si>
    <t>Shorea johorensis</t>
  </si>
  <si>
    <t>Shorea lamellata</t>
  </si>
  <si>
    <t>Shorea ovalis</t>
  </si>
  <si>
    <t>Shorea parvifolia</t>
  </si>
  <si>
    <t>Shorea parvistipulata</t>
  </si>
  <si>
    <t>Garcinia parvifolia</t>
  </si>
  <si>
    <t>Artocarpus lanceifolius</t>
  </si>
  <si>
    <t>Dillenia reticulata</t>
  </si>
  <si>
    <t>Dryobalanops oblongifolia</t>
  </si>
  <si>
    <t>Triomma malaccensis</t>
  </si>
  <si>
    <t>Syzygium sp.</t>
  </si>
  <si>
    <t>Vitex pinnata</t>
  </si>
  <si>
    <t>Koompassia malaccensis</t>
  </si>
  <si>
    <t>Cadangan Karbon (Ton C)</t>
  </si>
  <si>
    <t>No. Pohon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</si>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</sst>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quotePrefix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F927-F919-4720-974F-099EB7AA2DCE}">
  <dimension ref="A1:J274"/>
  <sheetViews>
    <sheetView tabSelected="1" workbookViewId="0">
      <selection activeCell="C2" sqref="C2:C39"/>
    </sheetView>
  </sheetViews>
  <sheetFormatPr defaultRowHeight="14.5" x14ac:dyDescent="0.35"/>
  <cols>
    <col min="1" max="1" width="8.7265625" style="4"/>
    <col min="2" max="2" width="17" customWidth="1"/>
    <col min="3" max="3" width="21.26953125" bestFit="1" customWidth="1"/>
    <col min="6" max="6" width="9.7265625" bestFit="1" customWidth="1"/>
    <col min="7" max="7" width="8.90625" bestFit="1" customWidth="1"/>
    <col min="8" max="8" width="14.26953125" customWidth="1"/>
    <col min="9" max="9" width="15.54296875" customWidth="1"/>
    <col min="10" max="10" width="14.1796875" customWidth="1"/>
  </cols>
  <sheetData>
    <row r="1" spans="1:10" ht="29" x14ac:dyDescent="0.35">
      <c r="A1" s="1" t="s">
        <v>108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3</v>
      </c>
      <c r="G1" s="2" t="s">
        <v>4</v>
      </c>
      <c r="H1" s="2" t="s">
        <v>5</v>
      </c>
      <c r="I1" s="3" t="s">
        <v>107</v>
      </c>
      <c r="J1" s="3" t="s">
        <v>6</v>
      </c>
    </row>
    <row r="2" spans="1:10" x14ac:dyDescent="0.35">
      <c r="A2" s="10" t="s">
        <v>109</v>
      </c>
      <c r="B2" t="s">
        <v>23</v>
      </c>
      <c r="C2" s="11" t="s">
        <v>24</v>
      </c>
      <c r="D2">
        <v>31.5</v>
      </c>
      <c r="E2">
        <v>14.5</v>
      </c>
      <c r="F2">
        <v>0.6</v>
      </c>
      <c r="G2" s="5">
        <f t="shared" ref="G2:G39" si="0">0.11*F2*(D2^2.67)</f>
        <v>660.74382659548735</v>
      </c>
      <c r="H2" s="5">
        <f>G2/1000</f>
        <v>0.66074382659548736</v>
      </c>
      <c r="I2" s="6">
        <f>H2*0.47</f>
        <v>0.31054959849987906</v>
      </c>
      <c r="J2" s="6">
        <f>I2*(44/12)</f>
        <v>1.1386818611662233</v>
      </c>
    </row>
    <row r="3" spans="1:10" x14ac:dyDescent="0.35">
      <c r="A3" s="10" t="s">
        <v>110</v>
      </c>
      <c r="B3" t="s">
        <v>23</v>
      </c>
      <c r="C3" s="11" t="s">
        <v>24</v>
      </c>
      <c r="D3">
        <v>27.4</v>
      </c>
      <c r="E3">
        <v>10.5</v>
      </c>
      <c r="F3">
        <v>0.6</v>
      </c>
      <c r="G3" s="5">
        <f t="shared" si="0"/>
        <v>455.34223853091618</v>
      </c>
      <c r="H3" s="5">
        <f t="shared" ref="H3:H39" si="1">G3/1000</f>
        <v>0.45534223853091615</v>
      </c>
      <c r="I3" s="6">
        <f t="shared" ref="I3:I39" si="2">H3*0.47</f>
        <v>0.21401085210953058</v>
      </c>
      <c r="J3" s="6">
        <f t="shared" ref="J3:J39" si="3">I3*(44/12)</f>
        <v>0.78470645773494541</v>
      </c>
    </row>
    <row r="4" spans="1:10" x14ac:dyDescent="0.35">
      <c r="A4" s="10" t="s">
        <v>111</v>
      </c>
      <c r="B4" t="s">
        <v>23</v>
      </c>
      <c r="C4" s="11" t="s">
        <v>24</v>
      </c>
      <c r="D4">
        <v>17.3</v>
      </c>
      <c r="E4">
        <v>7</v>
      </c>
      <c r="F4">
        <v>0.6</v>
      </c>
      <c r="G4" s="5">
        <f t="shared" si="0"/>
        <v>133.39115434955661</v>
      </c>
      <c r="H4" s="5">
        <f t="shared" si="1"/>
        <v>0.13339115434955662</v>
      </c>
      <c r="I4" s="6">
        <f t="shared" si="2"/>
        <v>6.2693842544291611E-2</v>
      </c>
      <c r="J4" s="6">
        <f t="shared" si="3"/>
        <v>0.22987742266240258</v>
      </c>
    </row>
    <row r="5" spans="1:10" x14ac:dyDescent="0.35">
      <c r="A5" s="10" t="s">
        <v>112</v>
      </c>
      <c r="B5" t="s">
        <v>27</v>
      </c>
      <c r="C5" s="11" t="s">
        <v>28</v>
      </c>
      <c r="D5">
        <v>37.5</v>
      </c>
      <c r="E5">
        <v>11</v>
      </c>
      <c r="F5">
        <f>VLOOKUP(C5,Sheet2!A4:B76,2,FALSE)</f>
        <v>0.39729999999999999</v>
      </c>
      <c r="G5" s="5">
        <f t="shared" si="0"/>
        <v>696.90685282639629</v>
      </c>
      <c r="H5" s="5">
        <f t="shared" si="1"/>
        <v>0.69690685282639631</v>
      </c>
      <c r="I5" s="6">
        <f t="shared" si="2"/>
        <v>0.32754622082840623</v>
      </c>
      <c r="J5" s="6">
        <f t="shared" si="3"/>
        <v>1.2010028097041561</v>
      </c>
    </row>
    <row r="6" spans="1:10" x14ac:dyDescent="0.35">
      <c r="A6" s="10" t="s">
        <v>113</v>
      </c>
      <c r="B6" t="s">
        <v>23</v>
      </c>
      <c r="C6" s="11" t="s">
        <v>24</v>
      </c>
      <c r="D6">
        <v>29.2</v>
      </c>
      <c r="E6">
        <v>12.3</v>
      </c>
      <c r="F6">
        <v>0.6</v>
      </c>
      <c r="G6" s="5">
        <f t="shared" si="0"/>
        <v>539.65493001405878</v>
      </c>
      <c r="H6" s="5">
        <f t="shared" si="1"/>
        <v>0.53965493001405873</v>
      </c>
      <c r="I6" s="6">
        <f t="shared" si="2"/>
        <v>0.2536378171066076</v>
      </c>
      <c r="J6" s="6">
        <f t="shared" si="3"/>
        <v>0.93000532939089453</v>
      </c>
    </row>
    <row r="7" spans="1:10" x14ac:dyDescent="0.35">
      <c r="A7" s="10" t="s">
        <v>114</v>
      </c>
      <c r="B7" t="s">
        <v>20</v>
      </c>
      <c r="C7" s="11" t="s">
        <v>21</v>
      </c>
      <c r="D7">
        <v>8.1999999999999993</v>
      </c>
      <c r="E7">
        <v>7.6</v>
      </c>
      <c r="F7">
        <f>VLOOKUP(C7,Sheet2!A6:B78,2,FALSE)</f>
        <v>0.59</v>
      </c>
      <c r="G7" s="5">
        <f t="shared" si="0"/>
        <v>17.870128797739056</v>
      </c>
      <c r="H7" s="5">
        <f t="shared" si="1"/>
        <v>1.7870128797739058E-2</v>
      </c>
      <c r="I7" s="6">
        <f t="shared" si="2"/>
        <v>8.398960534937357E-3</v>
      </c>
      <c r="J7" s="6">
        <f t="shared" si="3"/>
        <v>3.0796188628103641E-2</v>
      </c>
    </row>
    <row r="8" spans="1:10" x14ac:dyDescent="0.35">
      <c r="A8" s="10" t="s">
        <v>115</v>
      </c>
      <c r="B8" t="s">
        <v>20</v>
      </c>
      <c r="C8" s="11" t="s">
        <v>21</v>
      </c>
      <c r="D8">
        <v>12.9</v>
      </c>
      <c r="E8">
        <v>11</v>
      </c>
      <c r="F8">
        <f>VLOOKUP(C8,Sheet2!A7:B79,2,FALSE)</f>
        <v>0.59</v>
      </c>
      <c r="G8" s="5">
        <f t="shared" si="0"/>
        <v>59.912745737237699</v>
      </c>
      <c r="H8" s="5">
        <f t="shared" si="1"/>
        <v>5.9912745737237698E-2</v>
      </c>
      <c r="I8" s="6">
        <f t="shared" si="2"/>
        <v>2.8158990496501717E-2</v>
      </c>
      <c r="J8" s="6">
        <f t="shared" si="3"/>
        <v>0.1032496318205063</v>
      </c>
    </row>
    <row r="9" spans="1:10" x14ac:dyDescent="0.35">
      <c r="A9" s="10" t="s">
        <v>116</v>
      </c>
      <c r="B9" t="s">
        <v>25</v>
      </c>
      <c r="C9" s="11" t="s">
        <v>26</v>
      </c>
      <c r="D9">
        <v>37.6</v>
      </c>
      <c r="E9">
        <v>10</v>
      </c>
      <c r="F9">
        <f>VLOOKUP(C9,Sheet2!A8:B80,2,FALSE)</f>
        <v>0.97</v>
      </c>
      <c r="G9" s="5">
        <f t="shared" si="0"/>
        <v>1713.6256942349046</v>
      </c>
      <c r="H9" s="5">
        <f t="shared" si="1"/>
        <v>1.7136256942349046</v>
      </c>
      <c r="I9" s="6">
        <f t="shared" si="2"/>
        <v>0.80540407629040511</v>
      </c>
      <c r="J9" s="6">
        <f t="shared" si="3"/>
        <v>2.9531482797314852</v>
      </c>
    </row>
    <row r="10" spans="1:10" x14ac:dyDescent="0.35">
      <c r="A10" s="10" t="s">
        <v>117</v>
      </c>
      <c r="B10" t="s">
        <v>20</v>
      </c>
      <c r="C10" s="11" t="s">
        <v>21</v>
      </c>
      <c r="D10">
        <v>9.1999999999999993</v>
      </c>
      <c r="E10">
        <v>11</v>
      </c>
      <c r="F10">
        <f>VLOOKUP(C10,Sheet2!A9:B81,2,FALSE)</f>
        <v>0.59</v>
      </c>
      <c r="G10" s="5">
        <f t="shared" si="0"/>
        <v>24.297310061335374</v>
      </c>
      <c r="H10" s="5">
        <f t="shared" si="1"/>
        <v>2.4297310061335373E-2</v>
      </c>
      <c r="I10" s="6">
        <f t="shared" si="2"/>
        <v>1.1419735728827625E-2</v>
      </c>
      <c r="J10" s="6">
        <f t="shared" si="3"/>
        <v>4.1872364339034622E-2</v>
      </c>
    </row>
    <row r="11" spans="1:10" x14ac:dyDescent="0.35">
      <c r="A11" s="10" t="s">
        <v>118</v>
      </c>
      <c r="B11" t="s">
        <v>32</v>
      </c>
      <c r="C11" s="11" t="s">
        <v>33</v>
      </c>
      <c r="D11">
        <v>44.6</v>
      </c>
      <c r="E11">
        <v>12</v>
      </c>
      <c r="F11">
        <f>VLOOKUP(C11,Sheet2!A10:B82,2,FALSE)</f>
        <v>0.5</v>
      </c>
      <c r="G11" s="5">
        <f t="shared" si="0"/>
        <v>1393.4351520988155</v>
      </c>
      <c r="H11" s="5">
        <f t="shared" si="1"/>
        <v>1.3934351520988155</v>
      </c>
      <c r="I11" s="6">
        <f t="shared" si="2"/>
        <v>0.65491452148644325</v>
      </c>
      <c r="J11" s="6">
        <f t="shared" si="3"/>
        <v>2.4013532454502919</v>
      </c>
    </row>
    <row r="12" spans="1:10" x14ac:dyDescent="0.35">
      <c r="A12" s="10" t="s">
        <v>119</v>
      </c>
      <c r="B12" t="s">
        <v>20</v>
      </c>
      <c r="C12" s="11" t="s">
        <v>21</v>
      </c>
      <c r="D12">
        <v>9.6999999999999993</v>
      </c>
      <c r="E12">
        <v>10.5</v>
      </c>
      <c r="F12">
        <f>VLOOKUP(C12,Sheet2!A11:B83,2,FALSE)</f>
        <v>0.59</v>
      </c>
      <c r="G12" s="5">
        <f t="shared" si="0"/>
        <v>27.984994590346478</v>
      </c>
      <c r="H12" s="5">
        <f t="shared" si="1"/>
        <v>2.7984994590346479E-2</v>
      </c>
      <c r="I12" s="6">
        <f t="shared" si="2"/>
        <v>1.3152947457462845E-2</v>
      </c>
      <c r="J12" s="6">
        <f t="shared" si="3"/>
        <v>4.8227474010697095E-2</v>
      </c>
    </row>
    <row r="13" spans="1:10" x14ac:dyDescent="0.35">
      <c r="A13" s="10" t="s">
        <v>120</v>
      </c>
      <c r="B13" t="s">
        <v>60</v>
      </c>
      <c r="C13" s="11" t="s">
        <v>29</v>
      </c>
      <c r="D13">
        <v>14.5</v>
      </c>
      <c r="E13">
        <v>8.5</v>
      </c>
      <c r="F13">
        <f>VLOOKUP(C13,Sheet2!A12:B84,2,FALSE)</f>
        <v>0.48</v>
      </c>
      <c r="G13" s="5">
        <f t="shared" si="0"/>
        <v>66.601880021495575</v>
      </c>
      <c r="H13" s="5">
        <f t="shared" si="1"/>
        <v>6.6601880021495571E-2</v>
      </c>
      <c r="I13" s="6">
        <f t="shared" si="2"/>
        <v>3.1302883610102916E-2</v>
      </c>
      <c r="J13" s="6">
        <f t="shared" si="3"/>
        <v>0.11477723990371069</v>
      </c>
    </row>
    <row r="14" spans="1:10" x14ac:dyDescent="0.35">
      <c r="A14" s="10" t="s">
        <v>121</v>
      </c>
      <c r="B14" t="s">
        <v>23</v>
      </c>
      <c r="C14" s="11" t="s">
        <v>24</v>
      </c>
      <c r="D14">
        <v>12.6</v>
      </c>
      <c r="E14">
        <v>9</v>
      </c>
      <c r="F14">
        <v>0.6</v>
      </c>
      <c r="G14" s="5">
        <f t="shared" si="0"/>
        <v>57.218081370532822</v>
      </c>
      <c r="H14" s="5">
        <f t="shared" si="1"/>
        <v>5.7218081370532824E-2</v>
      </c>
      <c r="I14" s="6">
        <f t="shared" si="2"/>
        <v>2.6892498244150426E-2</v>
      </c>
      <c r="J14" s="6">
        <f t="shared" si="3"/>
        <v>9.8605826895218227E-2</v>
      </c>
    </row>
    <row r="15" spans="1:10" x14ac:dyDescent="0.35">
      <c r="A15" s="10" t="s">
        <v>122</v>
      </c>
      <c r="B15" s="7" t="s">
        <v>44</v>
      </c>
      <c r="C15" s="12" t="s">
        <v>45</v>
      </c>
      <c r="D15">
        <v>50</v>
      </c>
      <c r="E15">
        <v>10.5</v>
      </c>
      <c r="F15">
        <f>VLOOKUP(C15,Sheet2!A14:B86,2,FALSE)</f>
        <v>0.87</v>
      </c>
      <c r="G15" s="5">
        <f t="shared" si="0"/>
        <v>3289.7420748033283</v>
      </c>
      <c r="H15" s="5">
        <f t="shared" si="1"/>
        <v>3.2897420748033284</v>
      </c>
      <c r="I15" s="6">
        <f t="shared" si="2"/>
        <v>1.5461787751575642</v>
      </c>
      <c r="J15" s="6">
        <f t="shared" si="3"/>
        <v>5.6693221755777348</v>
      </c>
    </row>
    <row r="16" spans="1:10" x14ac:dyDescent="0.35">
      <c r="A16" s="10" t="s">
        <v>123</v>
      </c>
      <c r="B16" s="7" t="s">
        <v>44</v>
      </c>
      <c r="C16" s="12" t="s">
        <v>45</v>
      </c>
      <c r="D16">
        <v>31.5</v>
      </c>
      <c r="E16">
        <v>7.5</v>
      </c>
      <c r="F16">
        <f>VLOOKUP(C16,Sheet2!A15:B87,2,FALSE)</f>
        <v>0.87</v>
      </c>
      <c r="G16" s="5">
        <f t="shared" si="0"/>
        <v>958.07854856345648</v>
      </c>
      <c r="H16" s="5">
        <f t="shared" si="1"/>
        <v>0.95807854856345653</v>
      </c>
      <c r="I16" s="6">
        <f t="shared" si="2"/>
        <v>0.45029691782482456</v>
      </c>
      <c r="J16" s="6">
        <f t="shared" si="3"/>
        <v>1.6510886986910234</v>
      </c>
    </row>
    <row r="17" spans="1:10" x14ac:dyDescent="0.35">
      <c r="A17" s="10" t="s">
        <v>124</v>
      </c>
      <c r="B17" t="s">
        <v>12</v>
      </c>
      <c r="C17" s="11" t="s">
        <v>13</v>
      </c>
      <c r="D17">
        <v>25.2</v>
      </c>
      <c r="E17">
        <v>7</v>
      </c>
      <c r="F17">
        <f>VLOOKUP(C17,Sheet2!A16:B88,2,FALSE)</f>
        <v>0.92</v>
      </c>
      <c r="G17" s="5">
        <f t="shared" si="0"/>
        <v>558.36727413145627</v>
      </c>
      <c r="H17" s="5">
        <f t="shared" si="1"/>
        <v>0.55836727413145626</v>
      </c>
      <c r="I17" s="6">
        <f t="shared" si="2"/>
        <v>0.26243261884178443</v>
      </c>
      <c r="J17" s="6">
        <f t="shared" si="3"/>
        <v>0.96225293575320947</v>
      </c>
    </row>
    <row r="18" spans="1:10" x14ac:dyDescent="0.35">
      <c r="A18" s="10" t="s">
        <v>125</v>
      </c>
      <c r="B18" s="7" t="s">
        <v>10</v>
      </c>
      <c r="C18" s="12" t="s">
        <v>11</v>
      </c>
      <c r="D18">
        <v>5.8</v>
      </c>
      <c r="E18">
        <v>4</v>
      </c>
      <c r="F18">
        <v>0.65</v>
      </c>
      <c r="G18" s="5">
        <f t="shared" si="0"/>
        <v>7.8101393842134144</v>
      </c>
      <c r="H18" s="5">
        <f t="shared" si="1"/>
        <v>7.8101393842134144E-3</v>
      </c>
      <c r="I18" s="6">
        <f t="shared" si="2"/>
        <v>3.6707655105803045E-3</v>
      </c>
      <c r="J18" s="6">
        <f t="shared" si="3"/>
        <v>1.345947353879445E-2</v>
      </c>
    </row>
    <row r="19" spans="1:10" x14ac:dyDescent="0.35">
      <c r="A19" s="10" t="s">
        <v>126</v>
      </c>
      <c r="B19" s="7" t="s">
        <v>8</v>
      </c>
      <c r="C19" s="12" t="s">
        <v>9</v>
      </c>
      <c r="D19">
        <v>4</v>
      </c>
      <c r="E19">
        <v>3.5</v>
      </c>
      <c r="F19">
        <f>VLOOKUP(C19,Sheet2!A18:B90,2,FALSE)</f>
        <v>0.59</v>
      </c>
      <c r="G19" s="5">
        <f t="shared" si="0"/>
        <v>2.628723294357477</v>
      </c>
      <c r="H19" s="5">
        <f t="shared" si="1"/>
        <v>2.6287232943574771E-3</v>
      </c>
      <c r="I19" s="6">
        <f t="shared" si="2"/>
        <v>1.2354999483480142E-3</v>
      </c>
      <c r="J19" s="6">
        <f t="shared" si="3"/>
        <v>4.5301664772760515E-3</v>
      </c>
    </row>
    <row r="20" spans="1:10" x14ac:dyDescent="0.35">
      <c r="A20" s="10" t="s">
        <v>127</v>
      </c>
      <c r="B20" s="7" t="s">
        <v>61</v>
      </c>
      <c r="C20" s="12" t="s">
        <v>62</v>
      </c>
      <c r="D20">
        <v>7.2</v>
      </c>
      <c r="E20">
        <v>4</v>
      </c>
      <c r="F20">
        <v>0.7</v>
      </c>
      <c r="G20" s="5">
        <f t="shared" si="0"/>
        <v>14.981955081403814</v>
      </c>
      <c r="H20" s="5">
        <f t="shared" si="1"/>
        <v>1.4981955081403814E-2</v>
      </c>
      <c r="I20" s="6">
        <f t="shared" si="2"/>
        <v>7.0415188882597922E-3</v>
      </c>
      <c r="J20" s="6">
        <f t="shared" si="3"/>
        <v>2.5818902590285905E-2</v>
      </c>
    </row>
    <row r="21" spans="1:10" x14ac:dyDescent="0.35">
      <c r="A21" s="10" t="s">
        <v>128</v>
      </c>
      <c r="B21" s="7" t="s">
        <v>19</v>
      </c>
      <c r="C21" s="12" t="s">
        <v>63</v>
      </c>
      <c r="D21">
        <v>14.5</v>
      </c>
      <c r="E21">
        <v>8</v>
      </c>
      <c r="F21">
        <v>0.8</v>
      </c>
      <c r="G21" s="5">
        <f t="shared" si="0"/>
        <v>111.00313336915931</v>
      </c>
      <c r="H21" s="5">
        <f t="shared" si="1"/>
        <v>0.11100313336915932</v>
      </c>
      <c r="I21" s="6">
        <f t="shared" si="2"/>
        <v>5.2171472683504874E-2</v>
      </c>
      <c r="J21" s="6">
        <f t="shared" si="3"/>
        <v>0.19129539983951788</v>
      </c>
    </row>
    <row r="22" spans="1:10" x14ac:dyDescent="0.35">
      <c r="A22" s="10" t="s">
        <v>129</v>
      </c>
      <c r="B22" s="7" t="s">
        <v>42</v>
      </c>
      <c r="C22" s="12" t="s">
        <v>64</v>
      </c>
      <c r="D22">
        <v>6.6</v>
      </c>
      <c r="E22">
        <v>7.5</v>
      </c>
      <c r="F22">
        <v>0.64</v>
      </c>
      <c r="G22" s="5">
        <f t="shared" si="0"/>
        <v>10.858128251273689</v>
      </c>
      <c r="H22" s="5">
        <f t="shared" si="1"/>
        <v>1.0858128251273689E-2</v>
      </c>
      <c r="I22" s="6">
        <f t="shared" si="2"/>
        <v>5.1033202780986333E-3</v>
      </c>
      <c r="J22" s="6">
        <f t="shared" si="3"/>
        <v>1.871217435302832E-2</v>
      </c>
    </row>
    <row r="23" spans="1:10" x14ac:dyDescent="0.35">
      <c r="A23" s="10" t="s">
        <v>130</v>
      </c>
      <c r="B23" s="7" t="s">
        <v>51</v>
      </c>
      <c r="C23" s="12" t="s">
        <v>52</v>
      </c>
      <c r="D23">
        <v>22.2</v>
      </c>
      <c r="E23">
        <v>7.7</v>
      </c>
      <c r="F23">
        <v>0.55000000000000004</v>
      </c>
      <c r="G23" s="5">
        <f t="shared" si="0"/>
        <v>237.96759224439444</v>
      </c>
      <c r="H23" s="5">
        <f t="shared" si="1"/>
        <v>0.23796759224439443</v>
      </c>
      <c r="I23" s="6">
        <f t="shared" si="2"/>
        <v>0.11184476835486537</v>
      </c>
      <c r="J23" s="6">
        <f t="shared" si="3"/>
        <v>0.41009748396783968</v>
      </c>
    </row>
    <row r="24" spans="1:10" x14ac:dyDescent="0.35">
      <c r="A24" s="4">
        <v>23</v>
      </c>
      <c r="B24" s="7" t="s">
        <v>42</v>
      </c>
      <c r="C24" s="12" t="s">
        <v>64</v>
      </c>
      <c r="D24">
        <v>9</v>
      </c>
      <c r="E24">
        <v>8.5</v>
      </c>
      <c r="F24">
        <v>0.64</v>
      </c>
      <c r="G24" s="5">
        <f t="shared" si="0"/>
        <v>24.854221208686759</v>
      </c>
      <c r="H24" s="5">
        <f t="shared" si="1"/>
        <v>2.4854221208686758E-2</v>
      </c>
      <c r="I24" s="6">
        <f t="shared" si="2"/>
        <v>1.1681483968082775E-2</v>
      </c>
      <c r="J24" s="6">
        <f t="shared" si="3"/>
        <v>4.283210788297017E-2</v>
      </c>
    </row>
    <row r="25" spans="1:10" x14ac:dyDescent="0.35">
      <c r="A25" s="4">
        <v>24</v>
      </c>
      <c r="B25" s="7" t="s">
        <v>8</v>
      </c>
      <c r="C25" s="12" t="s">
        <v>9</v>
      </c>
      <c r="D25">
        <v>2.4</v>
      </c>
      <c r="E25">
        <v>6.6</v>
      </c>
      <c r="F25">
        <f>VLOOKUP(C25,Sheet2!A24:B96,2,FALSE)</f>
        <v>0.59</v>
      </c>
      <c r="G25" s="5">
        <f t="shared" si="0"/>
        <v>0.67206102838246473</v>
      </c>
      <c r="H25" s="5">
        <f t="shared" si="1"/>
        <v>6.7206102838246473E-4</v>
      </c>
      <c r="I25" s="6">
        <f t="shared" si="2"/>
        <v>3.1586868333975839E-4</v>
      </c>
      <c r="J25" s="6">
        <f t="shared" si="3"/>
        <v>1.1581851722457807E-3</v>
      </c>
    </row>
    <row r="26" spans="1:10" x14ac:dyDescent="0.35">
      <c r="A26" s="4">
        <v>25</v>
      </c>
      <c r="B26" s="7" t="s">
        <v>8</v>
      </c>
      <c r="C26" s="12" t="s">
        <v>9</v>
      </c>
      <c r="D26">
        <v>6.8</v>
      </c>
      <c r="E26">
        <v>4.5</v>
      </c>
      <c r="F26">
        <f>VLOOKUP(C26,Sheet2!A25:B97,2,FALSE)</f>
        <v>0.59</v>
      </c>
      <c r="G26" s="5">
        <f t="shared" si="0"/>
        <v>10.840354725752665</v>
      </c>
      <c r="H26" s="5">
        <f t="shared" si="1"/>
        <v>1.0840354725752665E-2</v>
      </c>
      <c r="I26" s="6">
        <f t="shared" si="2"/>
        <v>5.0949667211037516E-3</v>
      </c>
      <c r="J26" s="6">
        <f t="shared" si="3"/>
        <v>1.8681544644047088E-2</v>
      </c>
    </row>
    <row r="27" spans="1:10" x14ac:dyDescent="0.35">
      <c r="A27" s="4">
        <v>26</v>
      </c>
      <c r="B27" s="7" t="s">
        <v>15</v>
      </c>
      <c r="C27" s="11" t="s">
        <v>16</v>
      </c>
      <c r="D27">
        <v>6.4</v>
      </c>
      <c r="E27">
        <v>4</v>
      </c>
      <c r="F27">
        <f>VLOOKUP(C27,Sheet2!A26:B98,2,FALSE)</f>
        <v>0.63</v>
      </c>
      <c r="G27" s="5">
        <f t="shared" si="0"/>
        <v>9.8454090623298001</v>
      </c>
      <c r="H27" s="5">
        <f t="shared" si="1"/>
        <v>9.8454090623298005E-3</v>
      </c>
      <c r="I27" s="6">
        <f t="shared" si="2"/>
        <v>4.627342259295006E-3</v>
      </c>
      <c r="J27" s="6">
        <f t="shared" si="3"/>
        <v>1.6966921617415021E-2</v>
      </c>
    </row>
    <row r="28" spans="1:10" x14ac:dyDescent="0.35">
      <c r="A28" s="4">
        <v>27</v>
      </c>
      <c r="B28" s="7" t="s">
        <v>20</v>
      </c>
      <c r="C28" s="12" t="s">
        <v>21</v>
      </c>
      <c r="D28">
        <v>7.3</v>
      </c>
      <c r="E28">
        <v>6</v>
      </c>
      <c r="F28">
        <f>VLOOKUP(C28,Sheet2!A27:B99,2,FALSE)</f>
        <v>0.59</v>
      </c>
      <c r="G28" s="5">
        <f t="shared" si="0"/>
        <v>13.101370647317156</v>
      </c>
      <c r="H28" s="5">
        <f t="shared" si="1"/>
        <v>1.3101370647317156E-2</v>
      </c>
      <c r="I28" s="6">
        <f t="shared" si="2"/>
        <v>6.1576442042390626E-3</v>
      </c>
      <c r="J28" s="6">
        <f t="shared" si="3"/>
        <v>2.2578028748876561E-2</v>
      </c>
    </row>
    <row r="29" spans="1:10" x14ac:dyDescent="0.35">
      <c r="A29" s="4">
        <v>30</v>
      </c>
      <c r="B29" s="7" t="s">
        <v>20</v>
      </c>
      <c r="C29" s="11" t="s">
        <v>21</v>
      </c>
      <c r="D29">
        <v>28.1</v>
      </c>
      <c r="E29">
        <v>12</v>
      </c>
      <c r="F29">
        <f>VLOOKUP(C29,Sheet2!A28:B100,2,FALSE)</f>
        <v>0.59</v>
      </c>
      <c r="G29" s="5">
        <f t="shared" si="0"/>
        <v>478.95043379766656</v>
      </c>
      <c r="H29" s="5">
        <f t="shared" si="1"/>
        <v>0.47895043379766655</v>
      </c>
      <c r="I29" s="6">
        <f t="shared" si="2"/>
        <v>0.22510670388490328</v>
      </c>
      <c r="J29" s="6">
        <f t="shared" si="3"/>
        <v>0.82539124757797866</v>
      </c>
    </row>
    <row r="30" spans="1:10" x14ac:dyDescent="0.35">
      <c r="A30" s="4">
        <v>31</v>
      </c>
      <c r="B30" s="7" t="s">
        <v>42</v>
      </c>
      <c r="C30" s="11" t="s">
        <v>64</v>
      </c>
      <c r="D30">
        <v>5.9</v>
      </c>
      <c r="E30">
        <v>5.5</v>
      </c>
      <c r="F30">
        <v>0.64</v>
      </c>
      <c r="G30" s="5">
        <f t="shared" si="0"/>
        <v>8.0491038408544942</v>
      </c>
      <c r="H30" s="5">
        <f t="shared" si="1"/>
        <v>8.0491038408544938E-3</v>
      </c>
      <c r="I30" s="6">
        <f t="shared" si="2"/>
        <v>3.783078805201612E-3</v>
      </c>
      <c r="J30" s="6">
        <f t="shared" si="3"/>
        <v>1.387128895240591E-2</v>
      </c>
    </row>
    <row r="31" spans="1:10" x14ac:dyDescent="0.35">
      <c r="A31" s="4">
        <v>32</v>
      </c>
      <c r="B31" s="7" t="s">
        <v>17</v>
      </c>
      <c r="C31" s="11" t="s">
        <v>18</v>
      </c>
      <c r="D31">
        <v>11.5</v>
      </c>
      <c r="E31">
        <v>2</v>
      </c>
      <c r="F31">
        <f>VLOOKUP(C31,Sheet2!A30:B102,2,FALSE)</f>
        <v>0.56000000000000005</v>
      </c>
      <c r="G31" s="5">
        <f t="shared" si="0"/>
        <v>41.845036007984277</v>
      </c>
      <c r="H31" s="5">
        <f t="shared" si="1"/>
        <v>4.1845036007984275E-2</v>
      </c>
      <c r="I31" s="6">
        <f t="shared" si="2"/>
        <v>1.9667166923752609E-2</v>
      </c>
      <c r="J31" s="6">
        <f t="shared" si="3"/>
        <v>7.2112945387092897E-2</v>
      </c>
    </row>
    <row r="32" spans="1:10" x14ac:dyDescent="0.35">
      <c r="A32" s="4">
        <v>33</v>
      </c>
      <c r="B32" s="7" t="s">
        <v>56</v>
      </c>
      <c r="C32" s="11" t="s">
        <v>65</v>
      </c>
      <c r="D32">
        <v>9.4</v>
      </c>
      <c r="E32">
        <v>6.6</v>
      </c>
      <c r="F32">
        <v>0.92</v>
      </c>
      <c r="G32" s="5">
        <f t="shared" si="0"/>
        <v>40.126555547514336</v>
      </c>
      <c r="H32" s="5">
        <f t="shared" si="1"/>
        <v>4.0126555547514334E-2</v>
      </c>
      <c r="I32" s="6">
        <f t="shared" si="2"/>
        <v>1.8859481107331735E-2</v>
      </c>
      <c r="J32" s="6">
        <f t="shared" si="3"/>
        <v>6.9151430726883026E-2</v>
      </c>
    </row>
    <row r="33" spans="1:10" x14ac:dyDescent="0.35">
      <c r="A33" s="4">
        <v>34</v>
      </c>
      <c r="B33" s="7" t="s">
        <v>30</v>
      </c>
      <c r="C33" s="11" t="s">
        <v>31</v>
      </c>
      <c r="D33">
        <v>11</v>
      </c>
      <c r="E33">
        <v>4</v>
      </c>
      <c r="F33">
        <f>VLOOKUP(C33,Sheet2!A32:B104,2,FALSE)</f>
        <v>0.9</v>
      </c>
      <c r="G33" s="5">
        <f t="shared" si="0"/>
        <v>59.724656959233059</v>
      </c>
      <c r="H33" s="5">
        <f t="shared" si="1"/>
        <v>5.9724656959233062E-2</v>
      </c>
      <c r="I33" s="6">
        <f t="shared" si="2"/>
        <v>2.8070588770839539E-2</v>
      </c>
      <c r="J33" s="6">
        <f t="shared" si="3"/>
        <v>0.10292549215974497</v>
      </c>
    </row>
    <row r="34" spans="1:10" x14ac:dyDescent="0.35">
      <c r="A34" s="4">
        <v>35</v>
      </c>
      <c r="B34" s="7" t="s">
        <v>32</v>
      </c>
      <c r="C34" s="11" t="s">
        <v>33</v>
      </c>
      <c r="D34">
        <v>2.2999999999999998</v>
      </c>
      <c r="E34">
        <v>6</v>
      </c>
      <c r="F34">
        <v>0.5</v>
      </c>
      <c r="G34" s="5">
        <f t="shared" si="0"/>
        <v>0.50836543208709295</v>
      </c>
      <c r="H34" s="5">
        <f t="shared" si="1"/>
        <v>5.0836543208709298E-4</v>
      </c>
      <c r="I34" s="6">
        <f t="shared" si="2"/>
        <v>2.3893175308093369E-4</v>
      </c>
      <c r="J34" s="6">
        <f t="shared" si="3"/>
        <v>8.7608309463009016E-4</v>
      </c>
    </row>
    <row r="35" spans="1:10" x14ac:dyDescent="0.35">
      <c r="A35" s="4">
        <v>36</v>
      </c>
      <c r="B35" s="7" t="s">
        <v>39</v>
      </c>
      <c r="C35" s="11" t="s">
        <v>40</v>
      </c>
      <c r="D35">
        <v>8.6</v>
      </c>
      <c r="E35">
        <v>6</v>
      </c>
      <c r="F35">
        <v>588</v>
      </c>
      <c r="G35" s="5">
        <f t="shared" si="0"/>
        <v>20224.64354732482</v>
      </c>
      <c r="H35" s="5">
        <f t="shared" si="1"/>
        <v>20.224643547324821</v>
      </c>
      <c r="I35" s="6">
        <f t="shared" si="2"/>
        <v>9.5055824672426645</v>
      </c>
      <c r="J35" s="6">
        <f t="shared" si="3"/>
        <v>34.853802379889771</v>
      </c>
    </row>
    <row r="36" spans="1:10" x14ac:dyDescent="0.35">
      <c r="A36" s="4">
        <v>37</v>
      </c>
      <c r="B36" s="7" t="s">
        <v>20</v>
      </c>
      <c r="C36" s="11" t="s">
        <v>21</v>
      </c>
      <c r="D36">
        <v>21.6</v>
      </c>
      <c r="E36">
        <v>10.5</v>
      </c>
      <c r="F36">
        <f>VLOOKUP(C36,Sheet2!A35:B107,2,FALSE)</f>
        <v>0.59</v>
      </c>
      <c r="G36" s="5">
        <f t="shared" si="0"/>
        <v>237.26638444822856</v>
      </c>
      <c r="H36" s="5">
        <f t="shared" si="1"/>
        <v>0.23726638444822856</v>
      </c>
      <c r="I36" s="6">
        <f t="shared" si="2"/>
        <v>0.11151520069066742</v>
      </c>
      <c r="J36" s="6">
        <f t="shared" si="3"/>
        <v>0.40888906919911389</v>
      </c>
    </row>
    <row r="37" spans="1:10" x14ac:dyDescent="0.35">
      <c r="A37" s="4">
        <v>38</v>
      </c>
      <c r="B37" s="7" t="s">
        <v>66</v>
      </c>
      <c r="C37" s="11" t="s">
        <v>67</v>
      </c>
      <c r="D37">
        <v>35.6</v>
      </c>
      <c r="E37">
        <v>7</v>
      </c>
      <c r="F37">
        <v>0.5</v>
      </c>
      <c r="G37" s="5">
        <f t="shared" si="0"/>
        <v>763.36841041349521</v>
      </c>
      <c r="H37" s="5">
        <f t="shared" si="1"/>
        <v>0.76336841041349524</v>
      </c>
      <c r="I37" s="6">
        <f t="shared" si="2"/>
        <v>0.35878315289434276</v>
      </c>
      <c r="J37" s="6">
        <f t="shared" si="3"/>
        <v>1.3155382272792568</v>
      </c>
    </row>
    <row r="38" spans="1:10" x14ac:dyDescent="0.35">
      <c r="A38" s="4">
        <v>39</v>
      </c>
      <c r="B38" s="7" t="s">
        <v>44</v>
      </c>
      <c r="C38" s="11" t="s">
        <v>45</v>
      </c>
      <c r="D38">
        <v>21</v>
      </c>
      <c r="E38">
        <v>14</v>
      </c>
      <c r="F38">
        <f>VLOOKUP(C38,Sheet2!A37:B109,2,FALSE)</f>
        <v>0.87</v>
      </c>
      <c r="G38" s="5">
        <f t="shared" si="0"/>
        <v>324.51700166694889</v>
      </c>
      <c r="H38" s="5">
        <f t="shared" si="1"/>
        <v>0.32451700166694891</v>
      </c>
      <c r="I38" s="6">
        <f t="shared" si="2"/>
        <v>0.15252299078346598</v>
      </c>
      <c r="J38" s="6">
        <f t="shared" si="3"/>
        <v>0.55925096620604187</v>
      </c>
    </row>
    <row r="39" spans="1:10" x14ac:dyDescent="0.35">
      <c r="A39" s="4">
        <v>40</v>
      </c>
      <c r="B39" s="7" t="s">
        <v>60</v>
      </c>
      <c r="C39" s="11" t="s">
        <v>29</v>
      </c>
      <c r="D39">
        <v>18.8</v>
      </c>
      <c r="E39">
        <v>10</v>
      </c>
      <c r="F39">
        <v>0.48</v>
      </c>
      <c r="G39" s="5">
        <f t="shared" si="0"/>
        <v>133.24023195324935</v>
      </c>
      <c r="H39" s="5">
        <f t="shared" si="1"/>
        <v>0.13324023195324936</v>
      </c>
      <c r="I39" s="6">
        <f t="shared" si="2"/>
        <v>6.2622909018027195E-2</v>
      </c>
      <c r="J39" s="6">
        <f t="shared" si="3"/>
        <v>0.22961733306609972</v>
      </c>
    </row>
    <row r="40" spans="1:10" x14ac:dyDescent="0.35">
      <c r="A40" s="4">
        <v>41</v>
      </c>
      <c r="G40" s="5"/>
      <c r="H40" s="5"/>
      <c r="I40" s="6"/>
      <c r="J40" s="6"/>
    </row>
    <row r="41" spans="1:10" x14ac:dyDescent="0.35">
      <c r="A41" s="4">
        <v>42</v>
      </c>
      <c r="G41" s="5"/>
      <c r="H41" s="5"/>
      <c r="I41" s="6"/>
      <c r="J41" s="6"/>
    </row>
    <row r="42" spans="1:10" x14ac:dyDescent="0.35">
      <c r="A42" s="4">
        <v>43</v>
      </c>
      <c r="G42" s="5"/>
      <c r="H42" s="5"/>
      <c r="I42" s="6"/>
      <c r="J42" s="6"/>
    </row>
    <row r="43" spans="1:10" x14ac:dyDescent="0.35">
      <c r="A43" s="4">
        <v>44</v>
      </c>
      <c r="B43" s="7"/>
      <c r="C43" s="7"/>
      <c r="G43" s="5"/>
      <c r="H43" s="5"/>
      <c r="I43" s="6"/>
      <c r="J43" s="6"/>
    </row>
    <row r="44" spans="1:10" x14ac:dyDescent="0.35">
      <c r="A44" s="4">
        <v>45</v>
      </c>
      <c r="B44" s="7"/>
      <c r="C44" s="7"/>
      <c r="G44" s="5"/>
      <c r="H44" s="5"/>
      <c r="I44" s="6"/>
      <c r="J44" s="6"/>
    </row>
    <row r="45" spans="1:10" x14ac:dyDescent="0.35">
      <c r="A45" s="4">
        <v>46</v>
      </c>
      <c r="G45" s="5"/>
      <c r="H45" s="5"/>
      <c r="I45" s="6"/>
      <c r="J45" s="6"/>
    </row>
    <row r="46" spans="1:10" x14ac:dyDescent="0.35">
      <c r="A46" s="4">
        <v>47</v>
      </c>
      <c r="G46" s="5"/>
      <c r="H46" s="5"/>
      <c r="I46" s="6"/>
      <c r="J46" s="6"/>
    </row>
    <row r="47" spans="1:10" x14ac:dyDescent="0.35">
      <c r="A47" s="4">
        <v>48</v>
      </c>
      <c r="G47" s="5"/>
      <c r="H47" s="5"/>
      <c r="I47" s="6"/>
      <c r="J47" s="6"/>
    </row>
    <row r="48" spans="1:10" x14ac:dyDescent="0.35">
      <c r="A48" s="4">
        <v>49</v>
      </c>
      <c r="B48" s="7"/>
      <c r="C48" s="7"/>
      <c r="G48" s="5"/>
      <c r="H48" s="5"/>
      <c r="I48" s="6"/>
      <c r="J48" s="6"/>
    </row>
    <row r="49" spans="1:10" x14ac:dyDescent="0.35">
      <c r="A49" s="4">
        <v>50</v>
      </c>
      <c r="B49" s="7"/>
      <c r="C49" s="7"/>
      <c r="G49" s="5"/>
      <c r="H49" s="5"/>
      <c r="I49" s="6"/>
      <c r="J49" s="6"/>
    </row>
    <row r="50" spans="1:10" x14ac:dyDescent="0.35">
      <c r="A50" s="4">
        <v>51</v>
      </c>
      <c r="G50" s="5"/>
      <c r="H50" s="5"/>
      <c r="I50" s="6"/>
      <c r="J50" s="6"/>
    </row>
    <row r="51" spans="1:10" x14ac:dyDescent="0.35">
      <c r="A51" s="4">
        <v>52</v>
      </c>
      <c r="G51" s="5"/>
      <c r="H51" s="5"/>
      <c r="I51" s="6"/>
      <c r="J51" s="6"/>
    </row>
    <row r="52" spans="1:10" x14ac:dyDescent="0.35">
      <c r="A52" s="4">
        <v>53</v>
      </c>
      <c r="G52" s="5"/>
      <c r="H52" s="5"/>
      <c r="I52" s="6"/>
      <c r="J52" s="6"/>
    </row>
    <row r="53" spans="1:10" x14ac:dyDescent="0.35">
      <c r="A53" s="4">
        <v>54</v>
      </c>
      <c r="G53" s="5"/>
      <c r="H53" s="5"/>
      <c r="I53" s="6"/>
      <c r="J53" s="6"/>
    </row>
    <row r="54" spans="1:10" x14ac:dyDescent="0.35">
      <c r="A54" s="4">
        <v>55</v>
      </c>
      <c r="G54" s="5"/>
      <c r="H54" s="5"/>
      <c r="I54" s="6"/>
      <c r="J54" s="6"/>
    </row>
    <row r="55" spans="1:10" x14ac:dyDescent="0.35">
      <c r="A55" s="4">
        <v>56</v>
      </c>
      <c r="G55" s="5"/>
      <c r="H55" s="5"/>
      <c r="I55" s="6"/>
      <c r="J55" s="6"/>
    </row>
    <row r="56" spans="1:10" x14ac:dyDescent="0.35">
      <c r="A56" s="4">
        <v>57</v>
      </c>
      <c r="G56" s="5"/>
      <c r="H56" s="5"/>
      <c r="I56" s="6"/>
      <c r="J56" s="6"/>
    </row>
    <row r="57" spans="1:10" x14ac:dyDescent="0.35">
      <c r="A57" s="4">
        <v>58</v>
      </c>
      <c r="G57" s="5"/>
      <c r="H57" s="5"/>
      <c r="I57" s="6"/>
      <c r="J57" s="6"/>
    </row>
    <row r="58" spans="1:10" x14ac:dyDescent="0.35">
      <c r="A58" s="4">
        <v>59</v>
      </c>
      <c r="G58" s="5"/>
      <c r="H58" s="5"/>
      <c r="I58" s="6"/>
      <c r="J58" s="6"/>
    </row>
    <row r="59" spans="1:10" x14ac:dyDescent="0.35">
      <c r="A59" s="4">
        <v>60</v>
      </c>
      <c r="G59" s="5"/>
      <c r="H59" s="5"/>
      <c r="I59" s="6"/>
      <c r="J59" s="6"/>
    </row>
    <row r="60" spans="1:10" x14ac:dyDescent="0.35">
      <c r="A60" s="4">
        <v>61</v>
      </c>
      <c r="G60" s="5"/>
      <c r="H60" s="5"/>
      <c r="I60" s="6"/>
      <c r="J60" s="6"/>
    </row>
    <row r="61" spans="1:10" x14ac:dyDescent="0.35">
      <c r="A61" s="4">
        <v>62</v>
      </c>
      <c r="G61" s="5"/>
      <c r="H61" s="5"/>
      <c r="I61" s="6"/>
      <c r="J61" s="6"/>
    </row>
    <row r="62" spans="1:10" x14ac:dyDescent="0.35">
      <c r="A62" s="4">
        <v>63</v>
      </c>
      <c r="G62" s="5"/>
      <c r="H62" s="5"/>
      <c r="I62" s="6"/>
      <c r="J62" s="6"/>
    </row>
    <row r="63" spans="1:10" x14ac:dyDescent="0.35">
      <c r="A63" s="4">
        <v>64</v>
      </c>
      <c r="G63" s="5"/>
      <c r="H63" s="5"/>
      <c r="I63" s="6"/>
      <c r="J63" s="6"/>
    </row>
    <row r="64" spans="1:10" x14ac:dyDescent="0.35">
      <c r="A64" s="4">
        <v>65</v>
      </c>
      <c r="G64" s="5"/>
      <c r="H64" s="5"/>
      <c r="I64" s="6"/>
      <c r="J64" s="6"/>
    </row>
    <row r="65" spans="1:10" x14ac:dyDescent="0.35">
      <c r="A65" s="4">
        <v>66</v>
      </c>
      <c r="G65" s="5"/>
      <c r="H65" s="5"/>
      <c r="I65" s="6"/>
      <c r="J65" s="6"/>
    </row>
    <row r="66" spans="1:10" x14ac:dyDescent="0.35">
      <c r="A66" s="4">
        <v>67</v>
      </c>
      <c r="G66" s="5"/>
      <c r="H66" s="5"/>
      <c r="I66" s="6"/>
      <c r="J66" s="6"/>
    </row>
    <row r="67" spans="1:10" x14ac:dyDescent="0.35">
      <c r="A67" s="4">
        <v>68</v>
      </c>
      <c r="G67" s="5"/>
      <c r="H67" s="5"/>
      <c r="I67" s="6"/>
      <c r="J67" s="6"/>
    </row>
    <row r="68" spans="1:10" x14ac:dyDescent="0.35">
      <c r="A68" s="4">
        <v>69</v>
      </c>
      <c r="G68" s="5"/>
      <c r="H68" s="5"/>
      <c r="I68" s="6"/>
      <c r="J68" s="6"/>
    </row>
    <row r="69" spans="1:10" x14ac:dyDescent="0.35">
      <c r="A69" s="4">
        <v>70</v>
      </c>
      <c r="G69" s="5"/>
      <c r="H69" s="5"/>
      <c r="I69" s="6"/>
      <c r="J69" s="6"/>
    </row>
    <row r="70" spans="1:10" x14ac:dyDescent="0.35">
      <c r="A70" s="4">
        <v>71</v>
      </c>
      <c r="G70" s="5"/>
      <c r="H70" s="5"/>
      <c r="I70" s="6"/>
      <c r="J70" s="6"/>
    </row>
    <row r="71" spans="1:10" x14ac:dyDescent="0.35">
      <c r="A71" s="4">
        <v>72</v>
      </c>
      <c r="G71" s="5"/>
      <c r="H71" s="5"/>
      <c r="I71" s="6"/>
      <c r="J71" s="6"/>
    </row>
    <row r="72" spans="1:10" x14ac:dyDescent="0.35">
      <c r="A72" s="4">
        <v>73</v>
      </c>
      <c r="G72" s="5"/>
      <c r="H72" s="5"/>
      <c r="I72" s="6"/>
      <c r="J72" s="6"/>
    </row>
    <row r="73" spans="1:10" x14ac:dyDescent="0.35">
      <c r="A73" s="4">
        <v>74</v>
      </c>
      <c r="G73" s="5"/>
      <c r="H73" s="5"/>
      <c r="I73" s="6"/>
      <c r="J73" s="6"/>
    </row>
    <row r="74" spans="1:10" x14ac:dyDescent="0.35">
      <c r="A74" s="4">
        <v>75</v>
      </c>
      <c r="G74" s="5"/>
      <c r="H74" s="5"/>
      <c r="I74" s="6"/>
      <c r="J74" s="6"/>
    </row>
    <row r="75" spans="1:10" x14ac:dyDescent="0.35">
      <c r="A75" s="4">
        <v>76</v>
      </c>
      <c r="B75" s="7"/>
      <c r="C75" s="7"/>
      <c r="G75" s="5"/>
      <c r="H75" s="5"/>
      <c r="I75" s="6"/>
      <c r="J75" s="6"/>
    </row>
    <row r="76" spans="1:10" x14ac:dyDescent="0.35">
      <c r="A76" s="4">
        <v>77</v>
      </c>
      <c r="B76" s="7"/>
      <c r="C76" s="7"/>
      <c r="G76" s="5"/>
      <c r="H76" s="5"/>
      <c r="I76" s="6"/>
      <c r="J76" s="6"/>
    </row>
    <row r="77" spans="1:10" x14ac:dyDescent="0.35">
      <c r="A77" s="4">
        <v>78</v>
      </c>
      <c r="B77" s="7"/>
      <c r="C77" s="7"/>
      <c r="G77" s="5"/>
      <c r="H77" s="5"/>
      <c r="I77" s="6"/>
      <c r="J77" s="6"/>
    </row>
    <row r="78" spans="1:10" x14ac:dyDescent="0.35">
      <c r="A78" s="4">
        <v>79</v>
      </c>
      <c r="B78" s="7"/>
      <c r="C78" s="7"/>
      <c r="G78" s="5"/>
      <c r="H78" s="5"/>
      <c r="I78" s="6"/>
      <c r="J78" s="6"/>
    </row>
    <row r="79" spans="1:10" x14ac:dyDescent="0.35">
      <c r="A79" s="4">
        <v>80</v>
      </c>
      <c r="B79" s="7"/>
      <c r="C79" s="7"/>
      <c r="G79" s="5"/>
      <c r="H79" s="5"/>
      <c r="I79" s="6"/>
      <c r="J79" s="6"/>
    </row>
    <row r="80" spans="1:10" x14ac:dyDescent="0.35">
      <c r="A80" s="4">
        <v>81</v>
      </c>
      <c r="B80" s="7"/>
      <c r="C80" s="7"/>
      <c r="G80" s="5"/>
      <c r="H80" s="5"/>
      <c r="I80" s="6"/>
      <c r="J80" s="6"/>
    </row>
    <row r="81" spans="1:10" x14ac:dyDescent="0.35">
      <c r="A81" s="4">
        <v>82</v>
      </c>
      <c r="B81" s="7"/>
      <c r="C81" s="7"/>
      <c r="G81" s="5"/>
      <c r="H81" s="5"/>
      <c r="I81" s="6"/>
      <c r="J81" s="6"/>
    </row>
    <row r="82" spans="1:10" x14ac:dyDescent="0.35">
      <c r="A82" s="4">
        <v>83</v>
      </c>
      <c r="B82" s="7"/>
      <c r="C82" s="7"/>
      <c r="G82" s="5"/>
      <c r="H82" s="5"/>
      <c r="I82" s="6"/>
      <c r="J82" s="6"/>
    </row>
    <row r="83" spans="1:10" x14ac:dyDescent="0.35">
      <c r="A83" s="4">
        <v>84</v>
      </c>
      <c r="B83" s="7"/>
      <c r="C83" s="7"/>
      <c r="G83" s="5"/>
      <c r="H83" s="5"/>
      <c r="I83" s="6"/>
      <c r="J83" s="6"/>
    </row>
    <row r="84" spans="1:10" x14ac:dyDescent="0.35">
      <c r="A84" s="4">
        <v>85</v>
      </c>
      <c r="B84" s="7"/>
      <c r="C84" s="7"/>
      <c r="G84" s="5"/>
      <c r="H84" s="5"/>
      <c r="I84" s="6"/>
      <c r="J84" s="6"/>
    </row>
    <row r="85" spans="1:10" x14ac:dyDescent="0.35">
      <c r="A85" s="4">
        <v>86</v>
      </c>
      <c r="B85" s="7"/>
      <c r="C85" s="7"/>
      <c r="G85" s="5"/>
      <c r="H85" s="5"/>
      <c r="I85" s="6"/>
      <c r="J85" s="6"/>
    </row>
    <row r="86" spans="1:10" x14ac:dyDescent="0.35">
      <c r="A86" s="4">
        <v>87</v>
      </c>
      <c r="B86" s="7"/>
      <c r="C86" s="8"/>
      <c r="G86" s="5"/>
      <c r="H86" s="5"/>
      <c r="I86" s="6"/>
      <c r="J86" s="6"/>
    </row>
    <row r="87" spans="1:10" x14ac:dyDescent="0.35">
      <c r="A87" s="4">
        <v>88</v>
      </c>
      <c r="B87" s="7"/>
      <c r="C87" s="7"/>
      <c r="G87" s="5"/>
      <c r="H87" s="5"/>
      <c r="I87" s="6"/>
      <c r="J87" s="6"/>
    </row>
    <row r="88" spans="1:10" x14ac:dyDescent="0.35">
      <c r="A88" s="4">
        <v>89</v>
      </c>
      <c r="B88" s="7"/>
      <c r="C88" s="7"/>
      <c r="G88" s="5"/>
      <c r="H88" s="5"/>
      <c r="I88" s="6"/>
      <c r="J88" s="6"/>
    </row>
    <row r="89" spans="1:10" x14ac:dyDescent="0.35">
      <c r="A89" s="4">
        <v>90</v>
      </c>
      <c r="B89" s="7"/>
      <c r="C89" s="7"/>
      <c r="G89" s="5"/>
      <c r="H89" s="5"/>
      <c r="I89" s="6"/>
      <c r="J89" s="6"/>
    </row>
    <row r="90" spans="1:10" x14ac:dyDescent="0.35">
      <c r="A90" s="4">
        <v>91</v>
      </c>
      <c r="B90" s="7"/>
      <c r="C90" s="7"/>
      <c r="G90" s="5"/>
      <c r="H90" s="5"/>
      <c r="I90" s="6"/>
      <c r="J90" s="6"/>
    </row>
    <row r="91" spans="1:10" x14ac:dyDescent="0.35">
      <c r="A91" s="4">
        <v>92</v>
      </c>
      <c r="B91" s="7"/>
      <c r="C91" s="7"/>
      <c r="G91" s="5"/>
      <c r="H91" s="5"/>
      <c r="I91" s="6"/>
      <c r="J91" s="6"/>
    </row>
    <row r="92" spans="1:10" x14ac:dyDescent="0.35">
      <c r="A92" s="4">
        <v>93</v>
      </c>
      <c r="B92" s="7"/>
      <c r="C92" s="7"/>
      <c r="G92" s="5"/>
      <c r="H92" s="5"/>
      <c r="I92" s="6"/>
      <c r="J92" s="6"/>
    </row>
    <row r="93" spans="1:10" x14ac:dyDescent="0.35">
      <c r="A93" s="4">
        <v>94</v>
      </c>
      <c r="B93" s="7"/>
      <c r="C93" s="7"/>
      <c r="G93" s="5"/>
      <c r="H93" s="5"/>
      <c r="I93" s="6"/>
      <c r="J93" s="6"/>
    </row>
    <row r="94" spans="1:10" x14ac:dyDescent="0.35">
      <c r="A94" s="4">
        <v>95</v>
      </c>
      <c r="B94" s="7"/>
      <c r="C94" s="7"/>
      <c r="G94" s="5"/>
      <c r="H94" s="5"/>
      <c r="I94" s="6"/>
      <c r="J94" s="6"/>
    </row>
    <row r="95" spans="1:10" x14ac:dyDescent="0.35">
      <c r="A95" s="4">
        <v>96</v>
      </c>
      <c r="B95" s="7"/>
      <c r="C95" s="7"/>
      <c r="G95" s="5"/>
      <c r="H95" s="5"/>
      <c r="I95" s="6"/>
      <c r="J95" s="6"/>
    </row>
    <row r="96" spans="1:10" x14ac:dyDescent="0.35">
      <c r="A96" s="4">
        <v>97</v>
      </c>
      <c r="B96" s="7"/>
      <c r="C96" s="7"/>
      <c r="G96" s="5"/>
      <c r="H96" s="5"/>
      <c r="I96" s="6"/>
      <c r="J96" s="6"/>
    </row>
    <row r="97" spans="1:10" x14ac:dyDescent="0.35">
      <c r="A97" s="4">
        <v>98</v>
      </c>
      <c r="B97" s="7"/>
      <c r="C97" s="7"/>
      <c r="G97" s="5"/>
      <c r="H97" s="5"/>
      <c r="I97" s="6"/>
      <c r="J97" s="6"/>
    </row>
    <row r="98" spans="1:10" x14ac:dyDescent="0.35">
      <c r="A98" s="4">
        <v>99</v>
      </c>
      <c r="B98" s="7"/>
      <c r="C98" s="7"/>
      <c r="G98" s="5"/>
      <c r="H98" s="5"/>
      <c r="I98" s="6"/>
      <c r="J98" s="6"/>
    </row>
    <row r="99" spans="1:10" x14ac:dyDescent="0.35">
      <c r="A99" s="4">
        <v>100</v>
      </c>
      <c r="B99" s="7"/>
      <c r="C99" s="7"/>
      <c r="G99" s="5"/>
      <c r="H99" s="5"/>
      <c r="I99" s="6"/>
      <c r="J99" s="6"/>
    </row>
    <row r="100" spans="1:10" x14ac:dyDescent="0.35">
      <c r="A100" s="4">
        <v>101</v>
      </c>
      <c r="B100" s="7"/>
      <c r="C100" s="7"/>
      <c r="G100" s="5"/>
      <c r="H100" s="5"/>
      <c r="I100" s="6"/>
      <c r="J100" s="6"/>
    </row>
    <row r="101" spans="1:10" x14ac:dyDescent="0.35">
      <c r="A101" s="4">
        <v>102</v>
      </c>
      <c r="B101" s="7"/>
      <c r="C101" s="7"/>
      <c r="G101" s="5"/>
      <c r="H101" s="5"/>
      <c r="I101" s="6"/>
      <c r="J101" s="6"/>
    </row>
    <row r="102" spans="1:10" x14ac:dyDescent="0.35">
      <c r="A102" s="4">
        <v>103</v>
      </c>
      <c r="B102" s="7"/>
      <c r="C102" s="7"/>
      <c r="G102" s="5"/>
      <c r="H102" s="5"/>
      <c r="I102" s="6"/>
      <c r="J102" s="6"/>
    </row>
    <row r="103" spans="1:10" x14ac:dyDescent="0.35">
      <c r="A103" s="4">
        <v>104</v>
      </c>
      <c r="B103" s="7"/>
      <c r="C103" s="7"/>
      <c r="G103" s="5"/>
      <c r="H103" s="5"/>
      <c r="I103" s="6"/>
      <c r="J103" s="6"/>
    </row>
    <row r="104" spans="1:10" x14ac:dyDescent="0.35">
      <c r="A104" s="4">
        <v>105</v>
      </c>
      <c r="B104" s="7"/>
      <c r="C104" s="7"/>
      <c r="G104" s="5"/>
      <c r="H104" s="5"/>
      <c r="I104" s="6"/>
      <c r="J104" s="6"/>
    </row>
    <row r="105" spans="1:10" x14ac:dyDescent="0.35">
      <c r="A105" s="4">
        <v>106</v>
      </c>
      <c r="B105" s="7"/>
      <c r="C105" s="7"/>
      <c r="G105" s="5"/>
      <c r="H105" s="5"/>
      <c r="I105" s="6"/>
      <c r="J105" s="6"/>
    </row>
    <row r="106" spans="1:10" x14ac:dyDescent="0.35">
      <c r="A106" s="4">
        <v>107</v>
      </c>
      <c r="B106" s="7"/>
      <c r="C106" s="7"/>
      <c r="G106" s="5"/>
      <c r="H106" s="5"/>
      <c r="I106" s="6"/>
      <c r="J106" s="6"/>
    </row>
    <row r="107" spans="1:10" x14ac:dyDescent="0.35">
      <c r="A107" s="4">
        <v>108</v>
      </c>
      <c r="B107" s="7"/>
      <c r="C107" s="7"/>
      <c r="G107" s="5"/>
      <c r="H107" s="5"/>
      <c r="I107" s="6"/>
      <c r="J107" s="6"/>
    </row>
    <row r="108" spans="1:10" x14ac:dyDescent="0.35">
      <c r="A108" s="4">
        <v>109</v>
      </c>
      <c r="B108" s="7"/>
      <c r="C108" s="7"/>
      <c r="G108" s="5"/>
      <c r="H108" s="5"/>
      <c r="I108" s="6"/>
      <c r="J108" s="6"/>
    </row>
    <row r="109" spans="1:10" x14ac:dyDescent="0.35">
      <c r="A109" s="4">
        <v>110</v>
      </c>
      <c r="B109" s="7"/>
      <c r="C109" s="7"/>
      <c r="G109" s="5"/>
      <c r="H109" s="5"/>
      <c r="I109" s="6"/>
      <c r="J109" s="6"/>
    </row>
    <row r="110" spans="1:10" x14ac:dyDescent="0.35">
      <c r="A110" s="4">
        <v>111</v>
      </c>
      <c r="B110" s="7"/>
      <c r="C110" s="7"/>
      <c r="G110" s="5"/>
      <c r="H110" s="5"/>
      <c r="I110" s="6"/>
      <c r="J110" s="6"/>
    </row>
    <row r="111" spans="1:10" x14ac:dyDescent="0.35">
      <c r="A111" s="4">
        <v>112</v>
      </c>
      <c r="B111" s="7"/>
      <c r="C111" s="7"/>
      <c r="G111" s="5"/>
      <c r="H111" s="5"/>
      <c r="I111" s="6"/>
      <c r="J111" s="6"/>
    </row>
    <row r="112" spans="1:10" x14ac:dyDescent="0.35">
      <c r="A112" s="4">
        <v>113</v>
      </c>
      <c r="B112" s="7"/>
      <c r="C112" s="7"/>
      <c r="G112" s="5"/>
      <c r="H112" s="5"/>
      <c r="I112" s="6"/>
      <c r="J112" s="6"/>
    </row>
    <row r="113" spans="1:10" x14ac:dyDescent="0.35">
      <c r="A113" s="4">
        <v>114</v>
      </c>
      <c r="B113" s="7"/>
      <c r="C113" s="7"/>
      <c r="G113" s="5"/>
      <c r="H113" s="5"/>
      <c r="I113" s="6"/>
      <c r="J113" s="6"/>
    </row>
    <row r="114" spans="1:10" x14ac:dyDescent="0.35">
      <c r="A114" s="4">
        <v>115</v>
      </c>
      <c r="B114" s="7"/>
      <c r="C114" s="7"/>
      <c r="G114" s="5"/>
      <c r="H114" s="5"/>
      <c r="I114" s="6"/>
      <c r="J114" s="6"/>
    </row>
    <row r="115" spans="1:10" x14ac:dyDescent="0.35">
      <c r="A115" s="4">
        <v>116</v>
      </c>
      <c r="B115" s="7"/>
      <c r="C115" s="7"/>
      <c r="G115" s="5"/>
      <c r="H115" s="5"/>
      <c r="I115" s="6"/>
      <c r="J115" s="6"/>
    </row>
    <row r="116" spans="1:10" x14ac:dyDescent="0.35">
      <c r="A116" s="4">
        <v>117</v>
      </c>
      <c r="B116" s="7"/>
      <c r="C116" s="7"/>
      <c r="G116" s="5"/>
      <c r="H116" s="5"/>
      <c r="I116" s="6"/>
      <c r="J116" s="6"/>
    </row>
    <row r="117" spans="1:10" x14ac:dyDescent="0.35">
      <c r="A117" s="4">
        <v>118</v>
      </c>
      <c r="B117" s="7"/>
      <c r="C117" s="7"/>
      <c r="G117" s="5"/>
      <c r="H117" s="5"/>
      <c r="I117" s="6"/>
      <c r="J117" s="6"/>
    </row>
    <row r="118" spans="1:10" x14ac:dyDescent="0.35">
      <c r="A118" s="4">
        <v>119</v>
      </c>
      <c r="B118" s="7"/>
      <c r="C118" s="7"/>
      <c r="G118" s="5"/>
      <c r="H118" s="5"/>
      <c r="I118" s="6"/>
      <c r="J118" s="6"/>
    </row>
    <row r="119" spans="1:10" x14ac:dyDescent="0.35">
      <c r="A119" s="4">
        <v>120</v>
      </c>
      <c r="B119" s="7"/>
      <c r="C119" s="7"/>
      <c r="G119" s="5"/>
      <c r="H119" s="5"/>
      <c r="I119" s="6"/>
      <c r="J119" s="6"/>
    </row>
    <row r="120" spans="1:10" x14ac:dyDescent="0.35">
      <c r="A120" s="4">
        <v>121</v>
      </c>
      <c r="B120" s="7"/>
      <c r="C120" s="8"/>
      <c r="G120" s="5"/>
      <c r="H120" s="5"/>
      <c r="I120" s="6"/>
      <c r="J120" s="6"/>
    </row>
    <row r="121" spans="1:10" x14ac:dyDescent="0.35">
      <c r="A121" s="4">
        <v>122</v>
      </c>
      <c r="B121" s="7"/>
      <c r="C121" s="7"/>
      <c r="G121" s="5"/>
      <c r="H121" s="5"/>
      <c r="I121" s="6"/>
      <c r="J121" s="6"/>
    </row>
    <row r="122" spans="1:10" x14ac:dyDescent="0.35">
      <c r="A122" s="4">
        <v>123</v>
      </c>
      <c r="B122" s="7"/>
      <c r="C122" s="8"/>
      <c r="G122" s="5"/>
      <c r="H122" s="5"/>
      <c r="I122" s="6"/>
      <c r="J122" s="6"/>
    </row>
    <row r="123" spans="1:10" x14ac:dyDescent="0.35">
      <c r="A123" s="4">
        <v>124</v>
      </c>
      <c r="B123" s="7"/>
      <c r="C123" s="7"/>
      <c r="G123" s="5"/>
      <c r="H123" s="5"/>
      <c r="I123" s="6"/>
      <c r="J123" s="6"/>
    </row>
    <row r="124" spans="1:10" x14ac:dyDescent="0.35">
      <c r="A124" s="4">
        <v>125</v>
      </c>
      <c r="B124" s="7"/>
      <c r="C124" s="7"/>
      <c r="G124" s="5"/>
      <c r="H124" s="5"/>
      <c r="I124" s="6"/>
      <c r="J124" s="6"/>
    </row>
    <row r="125" spans="1:10" x14ac:dyDescent="0.35">
      <c r="A125" s="4">
        <v>126</v>
      </c>
      <c r="B125" s="7"/>
      <c r="C125" s="7"/>
      <c r="G125" s="5"/>
      <c r="H125" s="5"/>
      <c r="I125" s="6"/>
      <c r="J125" s="6"/>
    </row>
    <row r="126" spans="1:10" x14ac:dyDescent="0.35">
      <c r="A126" s="4">
        <v>127</v>
      </c>
      <c r="B126" s="7"/>
      <c r="C126" s="7"/>
      <c r="G126" s="5"/>
      <c r="H126" s="5"/>
      <c r="I126" s="6"/>
      <c r="J126" s="6"/>
    </row>
    <row r="127" spans="1:10" x14ac:dyDescent="0.35">
      <c r="A127" s="4">
        <v>128</v>
      </c>
      <c r="B127" s="7"/>
      <c r="C127" s="7"/>
      <c r="G127" s="5"/>
      <c r="H127" s="5"/>
      <c r="I127" s="6"/>
      <c r="J127" s="6"/>
    </row>
    <row r="128" spans="1:10" x14ac:dyDescent="0.35">
      <c r="A128" s="4">
        <v>129</v>
      </c>
      <c r="B128" s="7"/>
      <c r="C128" s="7"/>
      <c r="G128" s="5"/>
      <c r="H128" s="5"/>
      <c r="I128" s="6"/>
      <c r="J128" s="6"/>
    </row>
    <row r="129" spans="1:10" x14ac:dyDescent="0.35">
      <c r="A129" s="4">
        <v>130</v>
      </c>
      <c r="B129" s="7"/>
      <c r="C129" s="7"/>
      <c r="G129" s="5"/>
      <c r="H129" s="5"/>
      <c r="I129" s="6"/>
      <c r="J129" s="6"/>
    </row>
    <row r="130" spans="1:10" x14ac:dyDescent="0.35">
      <c r="A130" s="4">
        <v>131</v>
      </c>
      <c r="B130" s="7"/>
      <c r="C130" s="7"/>
      <c r="G130" s="5"/>
      <c r="H130" s="5"/>
      <c r="I130" s="6"/>
      <c r="J130" s="6"/>
    </row>
    <row r="131" spans="1:10" x14ac:dyDescent="0.35">
      <c r="A131" s="4">
        <v>132</v>
      </c>
      <c r="B131" s="7"/>
      <c r="C131" s="7"/>
      <c r="G131" s="5"/>
      <c r="H131" s="5"/>
      <c r="I131" s="6"/>
      <c r="J131" s="6"/>
    </row>
    <row r="132" spans="1:10" x14ac:dyDescent="0.35">
      <c r="A132" s="4">
        <v>133</v>
      </c>
      <c r="B132" s="7"/>
      <c r="C132" s="7"/>
      <c r="G132" s="5"/>
      <c r="H132" s="5"/>
      <c r="I132" s="6"/>
      <c r="J132" s="6"/>
    </row>
    <row r="133" spans="1:10" x14ac:dyDescent="0.35">
      <c r="A133" s="4">
        <v>134</v>
      </c>
      <c r="B133" s="7"/>
      <c r="C133" s="7"/>
      <c r="G133" s="5"/>
      <c r="H133" s="5"/>
      <c r="I133" s="6"/>
      <c r="J133" s="6"/>
    </row>
    <row r="134" spans="1:10" x14ac:dyDescent="0.35">
      <c r="A134" s="4">
        <v>135</v>
      </c>
      <c r="B134" s="7"/>
      <c r="C134" s="8"/>
      <c r="G134" s="5"/>
      <c r="H134" s="5"/>
      <c r="I134" s="6"/>
      <c r="J134" s="6"/>
    </row>
    <row r="135" spans="1:10" x14ac:dyDescent="0.35">
      <c r="A135" s="4">
        <v>136</v>
      </c>
      <c r="B135" s="7"/>
      <c r="C135" s="8"/>
      <c r="G135" s="5"/>
      <c r="H135" s="5"/>
      <c r="I135" s="6"/>
      <c r="J135" s="6"/>
    </row>
    <row r="136" spans="1:10" x14ac:dyDescent="0.35">
      <c r="A136" s="4">
        <v>137</v>
      </c>
      <c r="B136" s="7"/>
      <c r="C136" s="8"/>
      <c r="G136" s="5"/>
      <c r="H136" s="5"/>
      <c r="I136" s="6"/>
      <c r="J136" s="6"/>
    </row>
    <row r="137" spans="1:10" x14ac:dyDescent="0.35">
      <c r="A137" s="4">
        <v>138</v>
      </c>
      <c r="B137" s="7"/>
      <c r="C137" s="8"/>
      <c r="G137" s="5"/>
      <c r="H137" s="5"/>
      <c r="I137" s="6"/>
      <c r="J137" s="6"/>
    </row>
    <row r="138" spans="1:10" x14ac:dyDescent="0.35">
      <c r="A138" s="4">
        <v>139</v>
      </c>
      <c r="B138" s="7"/>
      <c r="C138" s="8"/>
      <c r="G138" s="5"/>
      <c r="H138" s="5"/>
      <c r="I138" s="6"/>
      <c r="J138" s="6"/>
    </row>
    <row r="139" spans="1:10" x14ac:dyDescent="0.35">
      <c r="A139" s="4">
        <v>140</v>
      </c>
      <c r="B139" s="7"/>
      <c r="C139" s="8"/>
      <c r="G139" s="5"/>
      <c r="H139" s="5"/>
      <c r="I139" s="6"/>
      <c r="J139" s="6"/>
    </row>
    <row r="140" spans="1:10" x14ac:dyDescent="0.35">
      <c r="A140" s="4">
        <v>141</v>
      </c>
      <c r="B140" s="7"/>
      <c r="C140" s="7"/>
      <c r="G140" s="5"/>
      <c r="H140" s="5"/>
      <c r="I140" s="6"/>
      <c r="J140" s="6"/>
    </row>
    <row r="141" spans="1:10" x14ac:dyDescent="0.35">
      <c r="A141" s="4">
        <v>142</v>
      </c>
      <c r="B141" s="7"/>
      <c r="C141" s="7"/>
      <c r="G141" s="5"/>
      <c r="H141" s="5"/>
      <c r="I141" s="6"/>
      <c r="J141" s="6"/>
    </row>
    <row r="142" spans="1:10" x14ac:dyDescent="0.35">
      <c r="A142" s="4">
        <v>143</v>
      </c>
      <c r="B142" s="7"/>
      <c r="C142" s="7"/>
      <c r="G142" s="5"/>
      <c r="H142" s="5"/>
      <c r="I142" s="6"/>
      <c r="J142" s="6"/>
    </row>
    <row r="143" spans="1:10" x14ac:dyDescent="0.35">
      <c r="A143" s="4">
        <v>144</v>
      </c>
      <c r="B143" s="7"/>
      <c r="C143" s="7"/>
      <c r="G143" s="5"/>
      <c r="H143" s="5"/>
      <c r="I143" s="6"/>
      <c r="J143" s="6"/>
    </row>
    <row r="144" spans="1:10" x14ac:dyDescent="0.35">
      <c r="A144" s="4">
        <v>145</v>
      </c>
      <c r="B144" s="7"/>
      <c r="C144" s="7"/>
      <c r="G144" s="5"/>
      <c r="H144" s="5"/>
      <c r="I144" s="6"/>
      <c r="J144" s="6"/>
    </row>
    <row r="145" spans="1:10" x14ac:dyDescent="0.35">
      <c r="A145" s="4">
        <v>146</v>
      </c>
      <c r="B145" s="7"/>
      <c r="C145" s="7"/>
      <c r="G145" s="5"/>
      <c r="H145" s="5"/>
      <c r="I145" s="6"/>
      <c r="J145" s="6"/>
    </row>
    <row r="146" spans="1:10" x14ac:dyDescent="0.35">
      <c r="A146" s="4">
        <v>147</v>
      </c>
      <c r="B146" s="7"/>
      <c r="C146" s="7"/>
      <c r="G146" s="5"/>
      <c r="H146" s="5"/>
      <c r="I146" s="6"/>
      <c r="J146" s="6"/>
    </row>
    <row r="147" spans="1:10" x14ac:dyDescent="0.35">
      <c r="A147" s="4">
        <v>148</v>
      </c>
      <c r="B147" s="7"/>
      <c r="C147" s="7"/>
      <c r="G147" s="5"/>
      <c r="H147" s="5"/>
      <c r="I147" s="6"/>
      <c r="J147" s="6"/>
    </row>
    <row r="148" spans="1:10" x14ac:dyDescent="0.35">
      <c r="A148" s="4">
        <v>149</v>
      </c>
      <c r="B148" s="7"/>
      <c r="C148" s="7"/>
      <c r="G148" s="5"/>
      <c r="H148" s="5"/>
      <c r="I148" s="6"/>
      <c r="J148" s="6"/>
    </row>
    <row r="149" spans="1:10" x14ac:dyDescent="0.35">
      <c r="A149" s="4">
        <v>150</v>
      </c>
      <c r="B149" s="7"/>
      <c r="C149" s="7"/>
      <c r="G149" s="5"/>
      <c r="H149" s="5"/>
      <c r="I149" s="6"/>
      <c r="J149" s="6"/>
    </row>
    <row r="150" spans="1:10" x14ac:dyDescent="0.35">
      <c r="A150" s="4">
        <v>151</v>
      </c>
      <c r="B150" s="7"/>
      <c r="C150" s="7"/>
      <c r="G150" s="5"/>
      <c r="H150" s="5"/>
      <c r="I150" s="6"/>
      <c r="J150" s="6"/>
    </row>
    <row r="151" spans="1:10" x14ac:dyDescent="0.35">
      <c r="A151" s="4">
        <v>152</v>
      </c>
      <c r="B151" s="7"/>
      <c r="C151" s="7"/>
      <c r="G151" s="5"/>
      <c r="H151" s="5"/>
      <c r="I151" s="6"/>
      <c r="J151" s="6"/>
    </row>
    <row r="152" spans="1:10" x14ac:dyDescent="0.35">
      <c r="A152" s="4">
        <v>153</v>
      </c>
      <c r="B152" s="7"/>
      <c r="C152" s="7"/>
      <c r="G152" s="5"/>
      <c r="H152" s="5"/>
      <c r="I152" s="6"/>
      <c r="J152" s="6"/>
    </row>
    <row r="153" spans="1:10" x14ac:dyDescent="0.35">
      <c r="A153" s="4">
        <v>154</v>
      </c>
      <c r="B153" s="7"/>
      <c r="C153" s="7"/>
      <c r="G153" s="5"/>
      <c r="H153" s="5"/>
      <c r="I153" s="6"/>
      <c r="J153" s="6"/>
    </row>
    <row r="154" spans="1:10" x14ac:dyDescent="0.35">
      <c r="A154" s="4">
        <v>155</v>
      </c>
      <c r="B154" s="7"/>
      <c r="C154" s="7"/>
      <c r="G154" s="5"/>
      <c r="H154" s="5"/>
      <c r="I154" s="6"/>
      <c r="J154" s="6"/>
    </row>
    <row r="155" spans="1:10" x14ac:dyDescent="0.35">
      <c r="A155" s="4">
        <v>156</v>
      </c>
      <c r="B155" s="7"/>
      <c r="C155" s="7"/>
      <c r="G155" s="5"/>
      <c r="H155" s="5"/>
      <c r="I155" s="6"/>
      <c r="J155" s="6"/>
    </row>
    <row r="156" spans="1:10" x14ac:dyDescent="0.35">
      <c r="A156" s="4">
        <v>157</v>
      </c>
      <c r="B156" s="7"/>
      <c r="C156" s="7"/>
      <c r="G156" s="5"/>
      <c r="H156" s="5"/>
      <c r="I156" s="6"/>
      <c r="J156" s="6"/>
    </row>
    <row r="157" spans="1:10" x14ac:dyDescent="0.35">
      <c r="A157" s="4">
        <v>158</v>
      </c>
      <c r="B157" s="7"/>
      <c r="C157" s="7"/>
      <c r="G157" s="5"/>
      <c r="H157" s="5"/>
      <c r="I157" s="6"/>
      <c r="J157" s="6"/>
    </row>
    <row r="158" spans="1:10" x14ac:dyDescent="0.35">
      <c r="A158" s="4">
        <v>159</v>
      </c>
      <c r="B158" s="7"/>
      <c r="C158" s="7"/>
      <c r="G158" s="5"/>
      <c r="H158" s="5"/>
      <c r="I158" s="6"/>
      <c r="J158" s="6"/>
    </row>
    <row r="159" spans="1:10" x14ac:dyDescent="0.35">
      <c r="A159" s="4">
        <v>160</v>
      </c>
      <c r="B159" s="7"/>
      <c r="C159" s="7"/>
      <c r="G159" s="5"/>
      <c r="H159" s="5"/>
      <c r="I159" s="6"/>
      <c r="J159" s="6"/>
    </row>
    <row r="160" spans="1:10" x14ac:dyDescent="0.35">
      <c r="A160" s="4">
        <v>161</v>
      </c>
      <c r="B160" s="7"/>
      <c r="C160" s="7"/>
      <c r="G160" s="5"/>
      <c r="H160" s="5"/>
      <c r="I160" s="6"/>
      <c r="J160" s="6"/>
    </row>
    <row r="161" spans="1:10" x14ac:dyDescent="0.35">
      <c r="A161" s="4">
        <v>162</v>
      </c>
      <c r="B161" s="7"/>
      <c r="C161" s="7"/>
      <c r="G161" s="5"/>
      <c r="H161" s="5"/>
      <c r="I161" s="6"/>
      <c r="J161" s="6"/>
    </row>
    <row r="162" spans="1:10" x14ac:dyDescent="0.35">
      <c r="A162" s="4">
        <v>163</v>
      </c>
      <c r="B162" s="7"/>
      <c r="C162" s="7"/>
      <c r="G162" s="5"/>
      <c r="H162" s="5"/>
      <c r="I162" s="6"/>
      <c r="J162" s="6"/>
    </row>
    <row r="163" spans="1:10" x14ac:dyDescent="0.35">
      <c r="A163" s="4">
        <v>164</v>
      </c>
      <c r="B163" s="7"/>
      <c r="C163" s="7"/>
      <c r="G163" s="5"/>
      <c r="H163" s="5"/>
      <c r="I163" s="6"/>
      <c r="J163" s="6"/>
    </row>
    <row r="164" spans="1:10" x14ac:dyDescent="0.35">
      <c r="A164" s="4">
        <v>165</v>
      </c>
      <c r="B164" s="7"/>
      <c r="C164" s="8"/>
      <c r="G164" s="5"/>
      <c r="H164" s="5"/>
      <c r="I164" s="6"/>
      <c r="J164" s="6"/>
    </row>
    <row r="165" spans="1:10" x14ac:dyDescent="0.35">
      <c r="A165" s="4">
        <v>166</v>
      </c>
      <c r="B165" s="7"/>
      <c r="C165" s="8"/>
      <c r="G165" s="5"/>
      <c r="H165" s="5"/>
      <c r="I165" s="6"/>
      <c r="J165" s="6"/>
    </row>
    <row r="166" spans="1:10" x14ac:dyDescent="0.35">
      <c r="A166" s="4">
        <v>167</v>
      </c>
      <c r="B166" s="7"/>
      <c r="C166" s="7"/>
      <c r="G166" s="5"/>
      <c r="H166" s="5"/>
      <c r="I166" s="6"/>
      <c r="J166" s="6"/>
    </row>
    <row r="167" spans="1:10" x14ac:dyDescent="0.35">
      <c r="A167" s="4">
        <v>168</v>
      </c>
      <c r="B167" s="7"/>
      <c r="C167" s="7"/>
      <c r="G167" s="5"/>
      <c r="H167" s="5"/>
      <c r="I167" s="6"/>
      <c r="J167" s="6"/>
    </row>
    <row r="168" spans="1:10" x14ac:dyDescent="0.35">
      <c r="A168" s="4">
        <v>169</v>
      </c>
      <c r="B168" s="7"/>
      <c r="C168" s="7"/>
      <c r="G168" s="5"/>
      <c r="H168" s="5"/>
      <c r="I168" s="6"/>
      <c r="J168" s="6"/>
    </row>
    <row r="169" spans="1:10" x14ac:dyDescent="0.35">
      <c r="A169" s="4">
        <v>170</v>
      </c>
      <c r="B169" s="7"/>
      <c r="C169" s="7"/>
      <c r="G169" s="5"/>
      <c r="H169" s="5"/>
      <c r="I169" s="6"/>
      <c r="J169" s="6"/>
    </row>
    <row r="170" spans="1:10" x14ac:dyDescent="0.35">
      <c r="A170" s="4">
        <v>171</v>
      </c>
      <c r="B170" s="7"/>
      <c r="C170" s="7"/>
      <c r="G170" s="5"/>
      <c r="H170" s="5"/>
      <c r="I170" s="6"/>
      <c r="J170" s="6"/>
    </row>
    <row r="171" spans="1:10" x14ac:dyDescent="0.35">
      <c r="A171" s="4">
        <v>172</v>
      </c>
      <c r="B171" s="7"/>
      <c r="C171" s="7"/>
      <c r="G171" s="5"/>
      <c r="H171" s="5"/>
      <c r="I171" s="6"/>
      <c r="J171" s="6"/>
    </row>
    <row r="172" spans="1:10" x14ac:dyDescent="0.35">
      <c r="A172" s="4">
        <v>173</v>
      </c>
      <c r="B172" s="7"/>
      <c r="C172" s="7"/>
      <c r="G172" s="5"/>
      <c r="H172" s="5"/>
      <c r="I172" s="6"/>
      <c r="J172" s="6"/>
    </row>
    <row r="173" spans="1:10" x14ac:dyDescent="0.35">
      <c r="A173" s="4">
        <v>174</v>
      </c>
      <c r="B173" s="7"/>
      <c r="C173" s="7"/>
      <c r="G173" s="5"/>
      <c r="H173" s="5"/>
      <c r="I173" s="6"/>
      <c r="J173" s="6"/>
    </row>
    <row r="174" spans="1:10" x14ac:dyDescent="0.35">
      <c r="A174" s="4">
        <v>175</v>
      </c>
      <c r="B174" s="7"/>
      <c r="C174" s="7"/>
      <c r="G174" s="5"/>
      <c r="H174" s="5"/>
      <c r="I174" s="6"/>
      <c r="J174" s="6"/>
    </row>
    <row r="175" spans="1:10" x14ac:dyDescent="0.35">
      <c r="A175" s="4">
        <v>176</v>
      </c>
      <c r="B175" s="7"/>
      <c r="C175" s="7"/>
      <c r="G175" s="5"/>
      <c r="H175" s="5"/>
      <c r="I175" s="6"/>
      <c r="J175" s="6"/>
    </row>
    <row r="176" spans="1:10" x14ac:dyDescent="0.35">
      <c r="A176" s="4">
        <v>177</v>
      </c>
      <c r="B176" s="7"/>
      <c r="C176" s="7"/>
      <c r="G176" s="5"/>
      <c r="H176" s="5"/>
      <c r="I176" s="6"/>
      <c r="J176" s="6"/>
    </row>
    <row r="177" spans="1:10" x14ac:dyDescent="0.35">
      <c r="A177" s="4">
        <v>178</v>
      </c>
      <c r="B177" s="7"/>
      <c r="C177" s="7"/>
      <c r="G177" s="5"/>
      <c r="H177" s="5"/>
      <c r="I177" s="6"/>
      <c r="J177" s="6"/>
    </row>
    <row r="178" spans="1:10" x14ac:dyDescent="0.35">
      <c r="A178" s="4">
        <v>179</v>
      </c>
      <c r="B178" s="7"/>
      <c r="C178" s="7"/>
      <c r="G178" s="5"/>
      <c r="H178" s="5"/>
      <c r="I178" s="6"/>
      <c r="J178" s="6"/>
    </row>
    <row r="179" spans="1:10" x14ac:dyDescent="0.35">
      <c r="A179" s="4">
        <v>180</v>
      </c>
      <c r="B179" s="7"/>
      <c r="C179" s="7"/>
      <c r="G179" s="5"/>
      <c r="H179" s="5"/>
      <c r="I179" s="6"/>
      <c r="J179" s="6"/>
    </row>
    <row r="180" spans="1:10" x14ac:dyDescent="0.35">
      <c r="A180" s="4">
        <v>181</v>
      </c>
      <c r="B180" s="7"/>
      <c r="C180" s="8"/>
      <c r="G180" s="5"/>
      <c r="H180" s="5"/>
      <c r="I180" s="9"/>
      <c r="J180" s="6"/>
    </row>
    <row r="181" spans="1:10" x14ac:dyDescent="0.35">
      <c r="A181" s="4">
        <v>182</v>
      </c>
      <c r="B181" s="7"/>
      <c r="C181" s="7"/>
      <c r="G181" s="5"/>
      <c r="H181" s="5"/>
      <c r="I181" s="6"/>
      <c r="J181" s="6"/>
    </row>
    <row r="182" spans="1:10" x14ac:dyDescent="0.35">
      <c r="A182" s="4">
        <v>183</v>
      </c>
      <c r="B182" s="7"/>
      <c r="C182" s="7"/>
      <c r="G182" s="5"/>
      <c r="H182" s="5"/>
      <c r="I182" s="6"/>
      <c r="J182" s="6"/>
    </row>
    <row r="183" spans="1:10" x14ac:dyDescent="0.35">
      <c r="A183" s="4">
        <v>184</v>
      </c>
      <c r="B183" s="7"/>
      <c r="C183" s="7"/>
      <c r="G183" s="5"/>
      <c r="H183" s="5"/>
      <c r="I183" s="6"/>
      <c r="J183" s="6"/>
    </row>
    <row r="184" spans="1:10" x14ac:dyDescent="0.35">
      <c r="A184" s="4">
        <v>185</v>
      </c>
      <c r="B184" s="7"/>
      <c r="C184" s="7"/>
      <c r="G184" s="5"/>
      <c r="H184" s="5"/>
      <c r="I184" s="6"/>
      <c r="J184" s="6"/>
    </row>
    <row r="185" spans="1:10" x14ac:dyDescent="0.35">
      <c r="A185" s="4">
        <v>186</v>
      </c>
      <c r="B185" s="7"/>
      <c r="C185" s="7"/>
      <c r="G185" s="5"/>
      <c r="H185" s="5"/>
      <c r="I185" s="6"/>
      <c r="J185" s="6"/>
    </row>
    <row r="186" spans="1:10" x14ac:dyDescent="0.35">
      <c r="A186" s="4">
        <v>187</v>
      </c>
      <c r="B186" s="7"/>
      <c r="C186" s="7"/>
      <c r="G186" s="5"/>
      <c r="H186" s="5"/>
      <c r="I186" s="6"/>
      <c r="J186" s="6"/>
    </row>
    <row r="187" spans="1:10" x14ac:dyDescent="0.35">
      <c r="A187" s="4">
        <v>188</v>
      </c>
      <c r="B187" s="7"/>
      <c r="C187" s="7"/>
      <c r="G187" s="5"/>
      <c r="H187" s="5"/>
      <c r="I187" s="6"/>
      <c r="J187" s="6"/>
    </row>
    <row r="188" spans="1:10" x14ac:dyDescent="0.35">
      <c r="A188" s="4">
        <v>189</v>
      </c>
      <c r="B188" s="7"/>
      <c r="C188" s="7"/>
      <c r="G188" s="5"/>
      <c r="H188" s="5"/>
      <c r="I188" s="6"/>
      <c r="J188" s="6"/>
    </row>
    <row r="189" spans="1:10" x14ac:dyDescent="0.35">
      <c r="A189" s="4">
        <v>190</v>
      </c>
      <c r="B189" s="7"/>
      <c r="C189" s="7"/>
      <c r="G189" s="5"/>
      <c r="H189" s="5"/>
      <c r="I189" s="6"/>
      <c r="J189" s="6"/>
    </row>
    <row r="190" spans="1:10" x14ac:dyDescent="0.35">
      <c r="A190" s="4">
        <v>191</v>
      </c>
      <c r="B190" s="7"/>
      <c r="C190" s="7"/>
      <c r="G190" s="5"/>
      <c r="H190" s="5"/>
      <c r="I190" s="6"/>
      <c r="J190" s="6"/>
    </row>
    <row r="191" spans="1:10" x14ac:dyDescent="0.35">
      <c r="A191" s="4">
        <v>192</v>
      </c>
      <c r="B191" s="7"/>
      <c r="C191" s="7"/>
      <c r="G191" s="5"/>
      <c r="H191" s="5"/>
      <c r="I191" s="6"/>
      <c r="J191" s="6"/>
    </row>
    <row r="192" spans="1:10" x14ac:dyDescent="0.35">
      <c r="A192" s="4">
        <v>193</v>
      </c>
      <c r="B192" s="7"/>
      <c r="C192" s="7"/>
      <c r="G192" s="5"/>
      <c r="H192" s="5"/>
      <c r="I192" s="6"/>
      <c r="J192" s="6"/>
    </row>
    <row r="193" spans="1:10" x14ac:dyDescent="0.35">
      <c r="A193" s="4">
        <v>194</v>
      </c>
      <c r="B193" s="7"/>
      <c r="C193" s="7"/>
      <c r="G193" s="5"/>
      <c r="H193" s="5"/>
      <c r="I193" s="6"/>
      <c r="J193" s="6"/>
    </row>
    <row r="194" spans="1:10" x14ac:dyDescent="0.35">
      <c r="A194" s="4">
        <v>195</v>
      </c>
      <c r="B194" s="7"/>
      <c r="C194" s="7"/>
      <c r="G194" s="5"/>
      <c r="H194" s="5"/>
      <c r="I194" s="6"/>
      <c r="J194" s="6"/>
    </row>
    <row r="195" spans="1:10" x14ac:dyDescent="0.35">
      <c r="A195" s="4">
        <v>196</v>
      </c>
      <c r="B195" s="7"/>
      <c r="C195" s="7"/>
      <c r="G195" s="5"/>
      <c r="H195" s="5"/>
      <c r="I195" s="6"/>
      <c r="J195" s="6"/>
    </row>
    <row r="196" spans="1:10" x14ac:dyDescent="0.35">
      <c r="A196" s="4">
        <v>197</v>
      </c>
      <c r="B196" s="7"/>
      <c r="C196" s="7"/>
      <c r="G196" s="5"/>
      <c r="H196" s="5"/>
      <c r="I196" s="6"/>
      <c r="J196" s="6"/>
    </row>
    <row r="197" spans="1:10" x14ac:dyDescent="0.35">
      <c r="A197" s="4">
        <v>198</v>
      </c>
      <c r="B197" s="7"/>
      <c r="C197" s="7"/>
      <c r="G197" s="5"/>
      <c r="H197" s="5"/>
      <c r="I197" s="6"/>
      <c r="J197" s="6"/>
    </row>
    <row r="198" spans="1:10" x14ac:dyDescent="0.35">
      <c r="A198" s="4">
        <v>199</v>
      </c>
      <c r="B198" s="7"/>
      <c r="C198" s="7"/>
      <c r="G198" s="5"/>
      <c r="H198" s="5"/>
      <c r="I198" s="6"/>
      <c r="J198" s="6"/>
    </row>
    <row r="199" spans="1:10" x14ac:dyDescent="0.35">
      <c r="A199" s="4">
        <v>200</v>
      </c>
      <c r="B199" s="7"/>
      <c r="C199" s="7"/>
      <c r="G199" s="5"/>
      <c r="H199" s="5"/>
      <c r="I199" s="6"/>
      <c r="J199" s="6"/>
    </row>
    <row r="200" spans="1:10" x14ac:dyDescent="0.35">
      <c r="A200" s="4">
        <v>201</v>
      </c>
      <c r="B200" s="7"/>
      <c r="C200" s="7"/>
      <c r="G200" s="5"/>
      <c r="H200" s="5"/>
      <c r="I200" s="6"/>
      <c r="J200" s="6"/>
    </row>
    <row r="201" spans="1:10" x14ac:dyDescent="0.35">
      <c r="A201" s="4">
        <v>202</v>
      </c>
      <c r="B201" s="7"/>
      <c r="C201" s="7"/>
      <c r="G201" s="5"/>
      <c r="H201" s="5"/>
      <c r="I201" s="6"/>
      <c r="J201" s="6"/>
    </row>
    <row r="202" spans="1:10" x14ac:dyDescent="0.35">
      <c r="A202" s="4">
        <v>203</v>
      </c>
      <c r="B202" s="7"/>
      <c r="C202" s="7"/>
      <c r="G202" s="5"/>
      <c r="H202" s="5"/>
      <c r="I202" s="6"/>
      <c r="J202" s="6"/>
    </row>
    <row r="203" spans="1:10" x14ac:dyDescent="0.35">
      <c r="A203" s="4">
        <v>204</v>
      </c>
      <c r="B203" s="7"/>
      <c r="C203" s="7"/>
      <c r="G203" s="5"/>
      <c r="H203" s="5"/>
      <c r="I203" s="6"/>
      <c r="J203" s="6"/>
    </row>
    <row r="204" spans="1:10" x14ac:dyDescent="0.35">
      <c r="A204" s="4">
        <v>205</v>
      </c>
      <c r="B204" s="7"/>
      <c r="C204" s="7"/>
      <c r="G204" s="5"/>
      <c r="H204" s="5"/>
      <c r="I204" s="6"/>
      <c r="J204" s="6"/>
    </row>
    <row r="205" spans="1:10" x14ac:dyDescent="0.35">
      <c r="A205" s="4">
        <v>206</v>
      </c>
      <c r="B205" s="7"/>
      <c r="C205" s="7"/>
      <c r="G205" s="5"/>
      <c r="H205" s="5"/>
      <c r="I205" s="6"/>
      <c r="J205" s="6"/>
    </row>
    <row r="206" spans="1:10" x14ac:dyDescent="0.35">
      <c r="A206" s="4">
        <v>207</v>
      </c>
      <c r="B206" s="7"/>
      <c r="C206" s="7"/>
      <c r="G206" s="5"/>
      <c r="H206" s="5"/>
      <c r="I206" s="6"/>
      <c r="J206" s="6"/>
    </row>
    <row r="207" spans="1:10" x14ac:dyDescent="0.35">
      <c r="A207" s="4">
        <v>208</v>
      </c>
      <c r="B207" s="7"/>
      <c r="C207" s="7"/>
      <c r="G207" s="5"/>
      <c r="H207" s="5"/>
      <c r="I207" s="6"/>
      <c r="J207" s="6"/>
    </row>
    <row r="208" spans="1:10" x14ac:dyDescent="0.35">
      <c r="A208" s="4">
        <v>209</v>
      </c>
      <c r="B208" s="7"/>
      <c r="C208" s="7"/>
      <c r="G208" s="5"/>
      <c r="H208" s="5"/>
      <c r="I208" s="6"/>
      <c r="J208" s="6"/>
    </row>
    <row r="209" spans="1:10" x14ac:dyDescent="0.35">
      <c r="A209" s="4">
        <v>210</v>
      </c>
      <c r="B209" s="7"/>
      <c r="C209" s="7"/>
      <c r="G209" s="5"/>
      <c r="H209" s="5"/>
      <c r="I209" s="6"/>
      <c r="J209" s="6"/>
    </row>
    <row r="210" spans="1:10" x14ac:dyDescent="0.35">
      <c r="A210" s="4">
        <v>211</v>
      </c>
      <c r="B210" s="7"/>
      <c r="C210" s="7"/>
      <c r="G210" s="5"/>
      <c r="H210" s="5"/>
      <c r="I210" s="6"/>
      <c r="J210" s="6"/>
    </row>
    <row r="211" spans="1:10" x14ac:dyDescent="0.35">
      <c r="A211" s="4">
        <v>212</v>
      </c>
      <c r="B211" s="7"/>
      <c r="C211" s="7"/>
      <c r="G211" s="5"/>
      <c r="H211" s="5"/>
      <c r="I211" s="6"/>
      <c r="J211" s="6"/>
    </row>
    <row r="212" spans="1:10" x14ac:dyDescent="0.35">
      <c r="A212" s="4">
        <v>213</v>
      </c>
      <c r="B212" s="7"/>
      <c r="C212" s="7"/>
      <c r="G212" s="5"/>
      <c r="H212" s="5"/>
      <c r="I212" s="6"/>
      <c r="J212" s="6"/>
    </row>
    <row r="213" spans="1:10" x14ac:dyDescent="0.35">
      <c r="A213" s="4">
        <v>214</v>
      </c>
      <c r="B213" s="7"/>
      <c r="C213" s="7"/>
      <c r="G213" s="5"/>
      <c r="H213" s="5"/>
      <c r="I213" s="6"/>
      <c r="J213" s="6"/>
    </row>
    <row r="214" spans="1:10" x14ac:dyDescent="0.35">
      <c r="A214" s="4">
        <v>215</v>
      </c>
      <c r="B214" s="7"/>
      <c r="C214" s="7"/>
      <c r="G214" s="5"/>
      <c r="H214" s="5"/>
      <c r="I214" s="6"/>
      <c r="J214" s="6"/>
    </row>
    <row r="215" spans="1:10" x14ac:dyDescent="0.35">
      <c r="A215" s="4">
        <v>216</v>
      </c>
      <c r="B215" s="7"/>
      <c r="C215" s="7"/>
      <c r="G215" s="5"/>
      <c r="H215" s="5"/>
      <c r="I215" s="6"/>
      <c r="J215" s="6"/>
    </row>
    <row r="216" spans="1:10" x14ac:dyDescent="0.35">
      <c r="A216" s="4">
        <v>217</v>
      </c>
      <c r="B216" s="7"/>
      <c r="C216" s="7"/>
      <c r="G216" s="5"/>
      <c r="H216" s="5"/>
      <c r="I216" s="6"/>
      <c r="J216" s="6"/>
    </row>
    <row r="217" spans="1:10" x14ac:dyDescent="0.35">
      <c r="A217" s="4">
        <v>218</v>
      </c>
      <c r="B217" s="7"/>
      <c r="C217" s="7"/>
      <c r="G217" s="5"/>
      <c r="H217" s="5"/>
      <c r="I217" s="6"/>
      <c r="J217" s="6"/>
    </row>
    <row r="218" spans="1:10" x14ac:dyDescent="0.35">
      <c r="A218" s="4">
        <v>219</v>
      </c>
      <c r="B218" s="7"/>
      <c r="C218" s="7"/>
      <c r="G218" s="5"/>
      <c r="H218" s="5"/>
      <c r="I218" s="6"/>
      <c r="J218" s="6"/>
    </row>
    <row r="219" spans="1:10" x14ac:dyDescent="0.35">
      <c r="A219" s="4">
        <v>220</v>
      </c>
      <c r="B219" s="7"/>
      <c r="C219" s="7"/>
      <c r="G219" s="5"/>
      <c r="H219" s="5"/>
      <c r="I219" s="6"/>
      <c r="J219" s="6"/>
    </row>
    <row r="220" spans="1:10" x14ac:dyDescent="0.35">
      <c r="A220" s="4">
        <v>221</v>
      </c>
      <c r="B220" s="7"/>
      <c r="C220" s="7"/>
      <c r="G220" s="5"/>
      <c r="H220" s="5"/>
      <c r="I220" s="6"/>
      <c r="J220" s="6"/>
    </row>
    <row r="221" spans="1:10" x14ac:dyDescent="0.35">
      <c r="A221" s="4">
        <v>222</v>
      </c>
      <c r="B221" s="7"/>
      <c r="C221" s="7"/>
      <c r="G221" s="5"/>
      <c r="H221" s="5"/>
      <c r="I221" s="6"/>
      <c r="J221" s="6"/>
    </row>
    <row r="222" spans="1:10" x14ac:dyDescent="0.35">
      <c r="A222" s="4">
        <v>223</v>
      </c>
      <c r="B222" s="7"/>
      <c r="C222" s="7"/>
      <c r="G222" s="5"/>
      <c r="H222" s="5"/>
      <c r="I222" s="6"/>
      <c r="J222" s="6"/>
    </row>
    <row r="223" spans="1:10" x14ac:dyDescent="0.35">
      <c r="A223" s="4">
        <v>224</v>
      </c>
      <c r="B223" s="7"/>
      <c r="C223" s="7"/>
      <c r="G223" s="5"/>
      <c r="H223" s="5"/>
      <c r="I223" s="6"/>
      <c r="J223" s="6"/>
    </row>
    <row r="224" spans="1:10" x14ac:dyDescent="0.35">
      <c r="A224" s="4">
        <v>225</v>
      </c>
      <c r="B224" s="7"/>
      <c r="C224" s="7"/>
      <c r="G224" s="5"/>
      <c r="H224" s="5"/>
      <c r="I224" s="6"/>
      <c r="J224" s="6"/>
    </row>
    <row r="225" spans="1:10" x14ac:dyDescent="0.35">
      <c r="A225" s="4">
        <v>226</v>
      </c>
      <c r="B225" s="7"/>
      <c r="C225" s="7"/>
      <c r="G225" s="5"/>
      <c r="H225" s="5"/>
      <c r="I225" s="6"/>
      <c r="J225" s="6"/>
    </row>
    <row r="226" spans="1:10" x14ac:dyDescent="0.35">
      <c r="A226" s="4">
        <v>227</v>
      </c>
      <c r="B226" s="7"/>
      <c r="C226" s="7"/>
      <c r="G226" s="5"/>
      <c r="H226" s="5"/>
      <c r="I226" s="6"/>
      <c r="J226" s="6"/>
    </row>
    <row r="227" spans="1:10" x14ac:dyDescent="0.35">
      <c r="A227" s="4">
        <v>228</v>
      </c>
      <c r="B227" s="7"/>
      <c r="C227" s="7"/>
      <c r="G227" s="5"/>
      <c r="H227" s="5"/>
      <c r="I227" s="6"/>
      <c r="J227" s="6"/>
    </row>
    <row r="228" spans="1:10" x14ac:dyDescent="0.35">
      <c r="A228" s="4">
        <v>229</v>
      </c>
      <c r="B228" s="7"/>
      <c r="C228" s="7"/>
      <c r="G228" s="5"/>
      <c r="H228" s="5"/>
      <c r="I228" s="6"/>
      <c r="J228" s="6"/>
    </row>
    <row r="229" spans="1:10" x14ac:dyDescent="0.35">
      <c r="A229" s="4">
        <v>230</v>
      </c>
      <c r="B229" s="7"/>
      <c r="C229" s="7"/>
      <c r="G229" s="5"/>
      <c r="H229" s="5"/>
      <c r="I229" s="6"/>
      <c r="J229" s="6"/>
    </row>
    <row r="230" spans="1:10" x14ac:dyDescent="0.35">
      <c r="A230" s="4">
        <v>231</v>
      </c>
      <c r="B230" s="7"/>
      <c r="C230" s="8"/>
      <c r="G230" s="5"/>
      <c r="H230" s="5"/>
      <c r="I230" s="6"/>
      <c r="J230" s="6"/>
    </row>
    <row r="231" spans="1:10" x14ac:dyDescent="0.35">
      <c r="A231" s="4">
        <v>232</v>
      </c>
      <c r="B231" s="7"/>
      <c r="C231" s="7"/>
      <c r="G231" s="5"/>
      <c r="H231" s="5"/>
      <c r="I231" s="6"/>
      <c r="J231" s="6"/>
    </row>
    <row r="232" spans="1:10" x14ac:dyDescent="0.35">
      <c r="A232" s="4">
        <v>233</v>
      </c>
      <c r="B232" s="7"/>
      <c r="C232" s="7"/>
      <c r="G232" s="5"/>
      <c r="H232" s="5"/>
      <c r="I232" s="6"/>
      <c r="J232" s="6"/>
    </row>
    <row r="233" spans="1:10" x14ac:dyDescent="0.35">
      <c r="A233" s="4">
        <v>234</v>
      </c>
      <c r="B233" s="7"/>
      <c r="C233" s="7"/>
      <c r="G233" s="5"/>
      <c r="H233" s="5"/>
      <c r="I233" s="6"/>
      <c r="J233" s="6"/>
    </row>
    <row r="234" spans="1:10" x14ac:dyDescent="0.35">
      <c r="A234" s="4">
        <v>235</v>
      </c>
      <c r="B234" s="7"/>
      <c r="C234" s="7"/>
      <c r="G234" s="5"/>
      <c r="H234" s="5"/>
      <c r="I234" s="6"/>
      <c r="J234" s="6"/>
    </row>
    <row r="235" spans="1:10" x14ac:dyDescent="0.35">
      <c r="A235" s="4">
        <v>236</v>
      </c>
      <c r="B235" s="7"/>
      <c r="C235" s="7"/>
      <c r="G235" s="5"/>
      <c r="H235" s="5"/>
      <c r="I235" s="6"/>
      <c r="J235" s="6"/>
    </row>
    <row r="236" spans="1:10" x14ac:dyDescent="0.35">
      <c r="A236" s="4">
        <v>237</v>
      </c>
      <c r="B236" s="7"/>
      <c r="C236" s="8"/>
      <c r="G236" s="5"/>
      <c r="H236" s="5"/>
      <c r="I236" s="6"/>
      <c r="J236" s="6"/>
    </row>
    <row r="237" spans="1:10" x14ac:dyDescent="0.35">
      <c r="A237" s="4">
        <v>238</v>
      </c>
      <c r="B237" s="7"/>
      <c r="C237" s="8"/>
      <c r="G237" s="5"/>
      <c r="H237" s="5"/>
      <c r="I237" s="6"/>
      <c r="J237" s="6"/>
    </row>
    <row r="238" spans="1:10" x14ac:dyDescent="0.35">
      <c r="A238" s="4">
        <v>239</v>
      </c>
      <c r="B238" s="7"/>
      <c r="C238" s="7"/>
      <c r="G238" s="5"/>
      <c r="H238" s="5"/>
      <c r="I238" s="6"/>
      <c r="J238" s="6"/>
    </row>
    <row r="239" spans="1:10" x14ac:dyDescent="0.35">
      <c r="A239" s="4">
        <v>240</v>
      </c>
      <c r="B239" s="7"/>
      <c r="C239" s="7"/>
      <c r="G239" s="5"/>
      <c r="H239" s="5"/>
      <c r="I239" s="6"/>
      <c r="J239" s="6"/>
    </row>
    <row r="240" spans="1:10" x14ac:dyDescent="0.35">
      <c r="A240" s="4">
        <v>241</v>
      </c>
      <c r="B240" s="7"/>
      <c r="C240" s="7"/>
      <c r="G240" s="5"/>
      <c r="H240" s="5"/>
      <c r="I240" s="6"/>
      <c r="J240" s="6"/>
    </row>
    <row r="241" spans="1:10" x14ac:dyDescent="0.35">
      <c r="A241" s="4">
        <v>242</v>
      </c>
      <c r="B241" s="7"/>
      <c r="C241" s="7"/>
      <c r="G241" s="5"/>
      <c r="H241" s="5"/>
      <c r="I241" s="6"/>
      <c r="J241" s="6"/>
    </row>
    <row r="242" spans="1:10" x14ac:dyDescent="0.35">
      <c r="A242" s="4">
        <v>243</v>
      </c>
      <c r="B242" s="7"/>
      <c r="C242" s="7"/>
      <c r="G242" s="5"/>
      <c r="H242" s="5"/>
      <c r="I242" s="6"/>
      <c r="J242" s="6"/>
    </row>
    <row r="243" spans="1:10" x14ac:dyDescent="0.35">
      <c r="A243" s="4">
        <v>244</v>
      </c>
      <c r="B243" s="7"/>
      <c r="C243" s="7"/>
      <c r="G243" s="5"/>
      <c r="H243" s="5"/>
      <c r="I243" s="6"/>
      <c r="J243" s="6"/>
    </row>
    <row r="244" spans="1:10" x14ac:dyDescent="0.35">
      <c r="A244" s="4">
        <v>245</v>
      </c>
      <c r="B244" s="7"/>
      <c r="C244" s="7"/>
      <c r="G244" s="5"/>
      <c r="H244" s="5"/>
      <c r="I244" s="6"/>
      <c r="J244" s="6"/>
    </row>
    <row r="245" spans="1:10" x14ac:dyDescent="0.35">
      <c r="A245" s="4">
        <v>246</v>
      </c>
      <c r="B245" s="7"/>
      <c r="C245" s="8"/>
      <c r="G245" s="5"/>
      <c r="H245" s="5"/>
      <c r="I245" s="6"/>
      <c r="J245" s="6"/>
    </row>
    <row r="246" spans="1:10" x14ac:dyDescent="0.35">
      <c r="A246" s="4">
        <v>247</v>
      </c>
      <c r="B246" s="7"/>
      <c r="C246" s="7"/>
      <c r="G246" s="5"/>
      <c r="H246" s="5"/>
      <c r="I246" s="6"/>
      <c r="J246" s="6"/>
    </row>
    <row r="247" spans="1:10" x14ac:dyDescent="0.35">
      <c r="A247" s="4">
        <v>248</v>
      </c>
      <c r="B247" s="7"/>
      <c r="C247" s="7"/>
      <c r="G247" s="5"/>
      <c r="H247" s="5"/>
      <c r="I247" s="6"/>
      <c r="J247" s="6"/>
    </row>
    <row r="248" spans="1:10" x14ac:dyDescent="0.35">
      <c r="A248" s="4">
        <v>249</v>
      </c>
      <c r="B248" s="7"/>
      <c r="C248" s="7"/>
      <c r="G248" s="5"/>
      <c r="H248" s="5"/>
      <c r="I248" s="6"/>
      <c r="J248" s="6"/>
    </row>
    <row r="249" spans="1:10" x14ac:dyDescent="0.35">
      <c r="A249" s="4">
        <v>250</v>
      </c>
      <c r="B249" s="7"/>
      <c r="C249" s="7"/>
      <c r="G249" s="5"/>
      <c r="H249" s="5"/>
      <c r="I249" s="6"/>
      <c r="J249" s="6"/>
    </row>
    <row r="250" spans="1:10" x14ac:dyDescent="0.35">
      <c r="A250" s="4">
        <v>251</v>
      </c>
      <c r="B250" s="7"/>
      <c r="C250" s="7"/>
      <c r="G250" s="5"/>
      <c r="H250" s="5"/>
      <c r="I250" s="6"/>
      <c r="J250" s="6"/>
    </row>
    <row r="251" spans="1:10" x14ac:dyDescent="0.35">
      <c r="A251" s="4">
        <v>252</v>
      </c>
      <c r="B251" s="7"/>
      <c r="C251" s="7"/>
      <c r="G251" s="5"/>
      <c r="H251" s="5"/>
      <c r="I251" s="6"/>
      <c r="J251" s="6"/>
    </row>
    <row r="252" spans="1:10" x14ac:dyDescent="0.35">
      <c r="A252" s="4">
        <v>253</v>
      </c>
      <c r="B252" s="7"/>
      <c r="C252" s="7"/>
      <c r="G252" s="5"/>
      <c r="H252" s="5"/>
      <c r="I252" s="6"/>
      <c r="J252" s="6"/>
    </row>
    <row r="253" spans="1:10" x14ac:dyDescent="0.35">
      <c r="A253" s="4">
        <v>254</v>
      </c>
      <c r="B253" s="7"/>
      <c r="C253" s="7"/>
      <c r="G253" s="5"/>
      <c r="H253" s="5"/>
      <c r="I253" s="6"/>
      <c r="J253" s="6"/>
    </row>
    <row r="254" spans="1:10" x14ac:dyDescent="0.35">
      <c r="A254" s="4">
        <v>255</v>
      </c>
      <c r="B254" s="7"/>
      <c r="C254" s="7"/>
      <c r="G254" s="5"/>
      <c r="H254" s="5"/>
      <c r="I254" s="6"/>
      <c r="J254" s="6"/>
    </row>
    <row r="255" spans="1:10" x14ac:dyDescent="0.35">
      <c r="A255" s="4">
        <v>256</v>
      </c>
      <c r="B255" s="7"/>
      <c r="C255" s="7"/>
      <c r="G255" s="5"/>
      <c r="H255" s="5"/>
      <c r="I255" s="6"/>
      <c r="J255" s="6"/>
    </row>
    <row r="256" spans="1:10" x14ac:dyDescent="0.35">
      <c r="A256" s="4">
        <v>257</v>
      </c>
      <c r="B256" s="7"/>
      <c r="C256" s="7"/>
      <c r="G256" s="5"/>
      <c r="H256" s="5"/>
      <c r="I256" s="6"/>
      <c r="J256" s="6"/>
    </row>
    <row r="257" spans="1:10" x14ac:dyDescent="0.35">
      <c r="A257" s="4">
        <v>258</v>
      </c>
      <c r="B257" s="7"/>
      <c r="C257" s="7"/>
      <c r="G257" s="5"/>
      <c r="H257" s="5"/>
      <c r="I257" s="6"/>
      <c r="J257" s="6"/>
    </row>
    <row r="258" spans="1:10" x14ac:dyDescent="0.35">
      <c r="A258" s="4">
        <v>259</v>
      </c>
      <c r="B258" s="7"/>
      <c r="C258" s="7"/>
      <c r="G258" s="5"/>
      <c r="H258" s="5"/>
      <c r="I258" s="6"/>
      <c r="J258" s="6"/>
    </row>
    <row r="259" spans="1:10" x14ac:dyDescent="0.35">
      <c r="A259" s="4">
        <v>260</v>
      </c>
      <c r="B259" s="7"/>
      <c r="C259" s="8"/>
      <c r="G259" s="5"/>
      <c r="H259" s="5"/>
      <c r="I259" s="6"/>
      <c r="J259" s="6"/>
    </row>
    <row r="260" spans="1:10" x14ac:dyDescent="0.35">
      <c r="A260" s="4">
        <v>261</v>
      </c>
      <c r="B260" s="7"/>
      <c r="C260" s="7"/>
      <c r="G260" s="5"/>
      <c r="H260" s="5"/>
      <c r="I260" s="6"/>
      <c r="J260" s="6"/>
    </row>
    <row r="261" spans="1:10" x14ac:dyDescent="0.35">
      <c r="A261" s="4">
        <v>262</v>
      </c>
      <c r="B261" s="7"/>
      <c r="C261" s="7"/>
      <c r="G261" s="5"/>
      <c r="H261" s="5"/>
      <c r="I261" s="6"/>
      <c r="J261" s="6"/>
    </row>
    <row r="262" spans="1:10" x14ac:dyDescent="0.35">
      <c r="A262" s="4">
        <v>263</v>
      </c>
      <c r="B262" s="7"/>
      <c r="C262" s="7"/>
      <c r="G262" s="5"/>
      <c r="H262" s="5"/>
      <c r="I262" s="6"/>
      <c r="J262" s="6"/>
    </row>
    <row r="263" spans="1:10" x14ac:dyDescent="0.35">
      <c r="A263" s="4">
        <v>264</v>
      </c>
      <c r="B263" s="7"/>
      <c r="C263" s="7"/>
      <c r="G263" s="5"/>
      <c r="H263" s="5"/>
      <c r="I263" s="6"/>
      <c r="J263" s="6"/>
    </row>
    <row r="264" spans="1:10" x14ac:dyDescent="0.35">
      <c r="A264" s="4">
        <v>265</v>
      </c>
      <c r="B264" s="7"/>
      <c r="C264" s="7"/>
      <c r="G264" s="5"/>
      <c r="H264" s="5"/>
      <c r="I264" s="6"/>
      <c r="J264" s="6"/>
    </row>
    <row r="265" spans="1:10" x14ac:dyDescent="0.35">
      <c r="A265" s="4">
        <v>266</v>
      </c>
      <c r="B265" s="7"/>
      <c r="C265" s="7"/>
      <c r="G265" s="5"/>
      <c r="H265" s="5"/>
      <c r="I265" s="6"/>
      <c r="J265" s="6"/>
    </row>
    <row r="266" spans="1:10" x14ac:dyDescent="0.35">
      <c r="A266" s="4">
        <v>267</v>
      </c>
      <c r="B266" s="7"/>
      <c r="C266" s="7"/>
      <c r="G266" s="5"/>
      <c r="H266" s="5"/>
      <c r="I266" s="6"/>
      <c r="J266" s="6"/>
    </row>
    <row r="267" spans="1:10" x14ac:dyDescent="0.35">
      <c r="A267" s="4">
        <v>268</v>
      </c>
      <c r="B267" s="7"/>
      <c r="C267" s="8"/>
      <c r="G267" s="5"/>
      <c r="H267" s="5"/>
      <c r="I267" s="6"/>
      <c r="J267" s="6"/>
    </row>
    <row r="268" spans="1:10" x14ac:dyDescent="0.35">
      <c r="A268" s="4">
        <v>269</v>
      </c>
      <c r="B268" s="7"/>
      <c r="C268" s="7"/>
      <c r="G268" s="5"/>
      <c r="H268" s="5"/>
      <c r="I268" s="6"/>
      <c r="J268" s="6"/>
    </row>
    <row r="269" spans="1:10" x14ac:dyDescent="0.35">
      <c r="A269" s="4">
        <v>270</v>
      </c>
      <c r="B269" s="7"/>
      <c r="C269" s="7"/>
      <c r="G269" s="5"/>
      <c r="H269" s="5"/>
      <c r="I269" s="6"/>
      <c r="J269" s="6"/>
    </row>
    <row r="270" spans="1:10" x14ac:dyDescent="0.35">
      <c r="A270" s="4">
        <v>271</v>
      </c>
      <c r="B270" s="7"/>
      <c r="C270" s="7"/>
      <c r="G270" s="5"/>
      <c r="H270" s="5"/>
      <c r="I270" s="6"/>
      <c r="J270" s="6"/>
    </row>
    <row r="271" spans="1:10" x14ac:dyDescent="0.35">
      <c r="A271" s="4">
        <v>272</v>
      </c>
      <c r="B271" s="7"/>
      <c r="C271" s="7"/>
      <c r="G271" s="5"/>
      <c r="H271" s="5"/>
      <c r="I271" s="6"/>
      <c r="J271" s="6"/>
    </row>
    <row r="272" spans="1:10" x14ac:dyDescent="0.35">
      <c r="A272" s="4">
        <v>273</v>
      </c>
      <c r="B272" s="7"/>
      <c r="C272" s="7"/>
      <c r="G272" s="5"/>
      <c r="H272" s="5"/>
      <c r="I272" s="6"/>
      <c r="J272" s="6"/>
    </row>
    <row r="273" spans="1:10" x14ac:dyDescent="0.35">
      <c r="A273" s="4">
        <v>274</v>
      </c>
      <c r="B273" s="7"/>
      <c r="C273" s="7"/>
      <c r="G273" s="5"/>
      <c r="H273" s="5"/>
      <c r="I273" s="6"/>
      <c r="J273" s="6"/>
    </row>
    <row r="274" spans="1:10" x14ac:dyDescent="0.35">
      <c r="A274" s="4">
        <v>275</v>
      </c>
      <c r="B274" s="7"/>
      <c r="C274" s="7"/>
      <c r="G274" s="5"/>
      <c r="H274" s="5"/>
      <c r="I274" s="6"/>
      <c r="J274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141-A612-41CD-8D06-262E05F4EC44}">
  <dimension ref="A1:B74"/>
  <sheetViews>
    <sheetView topLeftCell="A60" workbookViewId="0">
      <selection sqref="A1:XFD1048576"/>
    </sheetView>
  </sheetViews>
  <sheetFormatPr defaultRowHeight="14.5" x14ac:dyDescent="0.35"/>
  <cols>
    <col min="1" max="1" width="19.81640625" bestFit="1" customWidth="1"/>
  </cols>
  <sheetData>
    <row r="1" spans="1:2" x14ac:dyDescent="0.35">
      <c r="A1" t="s">
        <v>0</v>
      </c>
      <c r="B1" t="s">
        <v>68</v>
      </c>
    </row>
    <row r="2" spans="1:2" x14ac:dyDescent="0.35">
      <c r="A2" s="8" t="s">
        <v>50</v>
      </c>
      <c r="B2">
        <v>0.3</v>
      </c>
    </row>
    <row r="3" spans="1:2" x14ac:dyDescent="0.35">
      <c r="A3" s="8" t="s">
        <v>69</v>
      </c>
      <c r="B3">
        <v>0.32</v>
      </c>
    </row>
    <row r="4" spans="1:2" x14ac:dyDescent="0.35">
      <c r="A4" s="8" t="s">
        <v>70</v>
      </c>
      <c r="B4">
        <v>0.32</v>
      </c>
    </row>
    <row r="5" spans="1:2" x14ac:dyDescent="0.35">
      <c r="A5" s="8" t="s">
        <v>71</v>
      </c>
      <c r="B5">
        <v>0.32</v>
      </c>
    </row>
    <row r="6" spans="1:2" x14ac:dyDescent="0.35">
      <c r="A6" s="8" t="s">
        <v>72</v>
      </c>
      <c r="B6">
        <v>0.32700000000000001</v>
      </c>
    </row>
    <row r="7" spans="1:2" x14ac:dyDescent="0.35">
      <c r="A7" s="8" t="s">
        <v>73</v>
      </c>
      <c r="B7">
        <v>0.34499999999999997</v>
      </c>
    </row>
    <row r="8" spans="1:2" x14ac:dyDescent="0.35">
      <c r="A8" s="8" t="s">
        <v>74</v>
      </c>
      <c r="B8">
        <v>0.3533</v>
      </c>
    </row>
    <row r="9" spans="1:2" x14ac:dyDescent="0.35">
      <c r="A9" s="8" t="s">
        <v>75</v>
      </c>
      <c r="B9">
        <v>0.38</v>
      </c>
    </row>
    <row r="10" spans="1:2" x14ac:dyDescent="0.35">
      <c r="A10" s="8" t="s">
        <v>76</v>
      </c>
      <c r="B10">
        <v>0.38</v>
      </c>
    </row>
    <row r="11" spans="1:2" x14ac:dyDescent="0.35">
      <c r="A11" s="8" t="s">
        <v>28</v>
      </c>
      <c r="B11">
        <v>0.39729999999999999</v>
      </c>
    </row>
    <row r="12" spans="1:2" x14ac:dyDescent="0.35">
      <c r="A12" s="8" t="s">
        <v>77</v>
      </c>
      <c r="B12">
        <v>0.41099999999999998</v>
      </c>
    </row>
    <row r="13" spans="1:2" x14ac:dyDescent="0.35">
      <c r="A13" s="8" t="s">
        <v>78</v>
      </c>
      <c r="B13">
        <v>0.41099999999999998</v>
      </c>
    </row>
    <row r="14" spans="1:2" x14ac:dyDescent="0.35">
      <c r="A14" s="8" t="s">
        <v>79</v>
      </c>
      <c r="B14">
        <v>0.47</v>
      </c>
    </row>
    <row r="15" spans="1:2" x14ac:dyDescent="0.35">
      <c r="A15" s="8" t="s">
        <v>80</v>
      </c>
      <c r="B15">
        <v>0.47799999999999998</v>
      </c>
    </row>
    <row r="16" spans="1:2" x14ac:dyDescent="0.35">
      <c r="A16" s="8" t="s">
        <v>29</v>
      </c>
      <c r="B16">
        <v>0.48</v>
      </c>
    </row>
    <row r="17" spans="1:2" x14ac:dyDescent="0.35">
      <c r="A17" s="8" t="s">
        <v>81</v>
      </c>
      <c r="B17">
        <v>0.48720000000000002</v>
      </c>
    </row>
    <row r="18" spans="1:2" x14ac:dyDescent="0.35">
      <c r="A18" s="8" t="s">
        <v>58</v>
      </c>
      <c r="B18">
        <v>0.495</v>
      </c>
    </row>
    <row r="19" spans="1:2" x14ac:dyDescent="0.35">
      <c r="A19" s="8" t="s">
        <v>33</v>
      </c>
      <c r="B19">
        <v>0.5</v>
      </c>
    </row>
    <row r="20" spans="1:2" x14ac:dyDescent="0.35">
      <c r="A20" s="8" t="s">
        <v>82</v>
      </c>
      <c r="B20">
        <v>0.5</v>
      </c>
    </row>
    <row r="21" spans="1:2" x14ac:dyDescent="0.35">
      <c r="A21" s="8" t="s">
        <v>83</v>
      </c>
      <c r="B21">
        <v>0.5</v>
      </c>
    </row>
    <row r="22" spans="1:2" x14ac:dyDescent="0.35">
      <c r="A22" s="8" t="s">
        <v>84</v>
      </c>
      <c r="B22">
        <v>0.5</v>
      </c>
    </row>
    <row r="23" spans="1:2" x14ac:dyDescent="0.35">
      <c r="A23" s="8" t="s">
        <v>85</v>
      </c>
      <c r="B23">
        <v>0.5</v>
      </c>
    </row>
    <row r="24" spans="1:2" x14ac:dyDescent="0.35">
      <c r="A24" s="8" t="s">
        <v>86</v>
      </c>
      <c r="B24">
        <v>0.52</v>
      </c>
    </row>
    <row r="25" spans="1:2" x14ac:dyDescent="0.35">
      <c r="A25" s="8" t="s">
        <v>87</v>
      </c>
      <c r="B25">
        <v>0.53</v>
      </c>
    </row>
    <row r="26" spans="1:2" x14ac:dyDescent="0.35">
      <c r="A26" s="8" t="s">
        <v>46</v>
      </c>
      <c r="B26">
        <v>0.54</v>
      </c>
    </row>
    <row r="27" spans="1:2" x14ac:dyDescent="0.35">
      <c r="A27" s="8" t="s">
        <v>88</v>
      </c>
      <c r="B27">
        <v>0.54500000000000004</v>
      </c>
    </row>
    <row r="28" spans="1:2" x14ac:dyDescent="0.35">
      <c r="A28" s="8" t="s">
        <v>89</v>
      </c>
      <c r="B28">
        <v>0.55000000000000004</v>
      </c>
    </row>
    <row r="29" spans="1:2" x14ac:dyDescent="0.35">
      <c r="A29" s="8" t="s">
        <v>90</v>
      </c>
      <c r="B29">
        <v>0.55000000000000004</v>
      </c>
    </row>
    <row r="30" spans="1:2" x14ac:dyDescent="0.35">
      <c r="A30" s="8" t="s">
        <v>91</v>
      </c>
      <c r="B30">
        <v>0.56000000000000005</v>
      </c>
    </row>
    <row r="31" spans="1:2" x14ac:dyDescent="0.35">
      <c r="A31" s="8" t="s">
        <v>92</v>
      </c>
      <c r="B31">
        <v>0.56000000000000005</v>
      </c>
    </row>
    <row r="32" spans="1:2" x14ac:dyDescent="0.35">
      <c r="A32" s="8" t="s">
        <v>40</v>
      </c>
      <c r="B32">
        <v>0.58799999999999997</v>
      </c>
    </row>
    <row r="33" spans="1:2" x14ac:dyDescent="0.35">
      <c r="A33" s="8" t="s">
        <v>20</v>
      </c>
      <c r="B33">
        <v>0.59</v>
      </c>
    </row>
    <row r="34" spans="1:2" x14ac:dyDescent="0.35">
      <c r="A34" s="8" t="s">
        <v>93</v>
      </c>
      <c r="B34">
        <v>0.59</v>
      </c>
    </row>
    <row r="35" spans="1:2" x14ac:dyDescent="0.35">
      <c r="A35" s="8" t="s">
        <v>94</v>
      </c>
      <c r="B35">
        <v>0.59</v>
      </c>
    </row>
    <row r="36" spans="1:2" x14ac:dyDescent="0.35">
      <c r="A36" s="8" t="s">
        <v>7</v>
      </c>
      <c r="B36">
        <v>0.59</v>
      </c>
    </row>
    <row r="37" spans="1:2" x14ac:dyDescent="0.35">
      <c r="A37" s="8" t="s">
        <v>95</v>
      </c>
      <c r="B37">
        <v>0.59</v>
      </c>
    </row>
    <row r="38" spans="1:2" x14ac:dyDescent="0.35">
      <c r="A38" s="8" t="s">
        <v>9</v>
      </c>
      <c r="B38">
        <v>0.59</v>
      </c>
    </row>
    <row r="39" spans="1:2" x14ac:dyDescent="0.35">
      <c r="A39" s="8" t="s">
        <v>96</v>
      </c>
      <c r="B39">
        <v>0.59</v>
      </c>
    </row>
    <row r="40" spans="1:2" x14ac:dyDescent="0.35">
      <c r="A40" s="8" t="s">
        <v>97</v>
      </c>
      <c r="B40">
        <v>0.59</v>
      </c>
    </row>
    <row r="41" spans="1:2" x14ac:dyDescent="0.35">
      <c r="A41" t="s">
        <v>21</v>
      </c>
      <c r="B41">
        <v>0.59</v>
      </c>
    </row>
    <row r="42" spans="1:2" x14ac:dyDescent="0.35">
      <c r="A42" s="8" t="s">
        <v>98</v>
      </c>
      <c r="B42">
        <v>0.59</v>
      </c>
    </row>
    <row r="43" spans="1:2" x14ac:dyDescent="0.35">
      <c r="A43" s="8" t="s">
        <v>99</v>
      </c>
      <c r="B43">
        <v>0.59199999999999997</v>
      </c>
    </row>
    <row r="44" spans="1:2" x14ac:dyDescent="0.35">
      <c r="A44" s="8" t="s">
        <v>100</v>
      </c>
      <c r="B44">
        <v>0.6</v>
      </c>
    </row>
    <row r="45" spans="1:2" x14ac:dyDescent="0.35">
      <c r="A45" s="8" t="s">
        <v>54</v>
      </c>
      <c r="B45">
        <v>0.6</v>
      </c>
    </row>
    <row r="46" spans="1:2" x14ac:dyDescent="0.35">
      <c r="A46" s="8" t="s">
        <v>101</v>
      </c>
      <c r="B46">
        <v>0.61</v>
      </c>
    </row>
    <row r="47" spans="1:2" x14ac:dyDescent="0.35">
      <c r="A47" s="8" t="s">
        <v>87</v>
      </c>
      <c r="B47">
        <v>0.62</v>
      </c>
    </row>
    <row r="48" spans="1:2" x14ac:dyDescent="0.35">
      <c r="A48" s="8" t="s">
        <v>102</v>
      </c>
      <c r="B48">
        <v>0.62</v>
      </c>
    </row>
    <row r="49" spans="1:2" x14ac:dyDescent="0.35">
      <c r="A49" s="8" t="s">
        <v>43</v>
      </c>
      <c r="B49">
        <v>0.64</v>
      </c>
    </row>
    <row r="50" spans="1:2" x14ac:dyDescent="0.35">
      <c r="A50" s="8" t="s">
        <v>48</v>
      </c>
      <c r="B50">
        <v>0.64</v>
      </c>
    </row>
    <row r="51" spans="1:2" x14ac:dyDescent="0.35">
      <c r="A51" s="8" t="s">
        <v>49</v>
      </c>
      <c r="B51">
        <v>0.65300000000000002</v>
      </c>
    </row>
    <row r="52" spans="1:2" x14ac:dyDescent="0.35">
      <c r="A52" s="8" t="s">
        <v>103</v>
      </c>
      <c r="B52">
        <v>0.7</v>
      </c>
    </row>
    <row r="53" spans="1:2" x14ac:dyDescent="0.35">
      <c r="A53" s="8" t="s">
        <v>104</v>
      </c>
      <c r="B53">
        <v>0.748</v>
      </c>
    </row>
    <row r="54" spans="1:2" x14ac:dyDescent="0.35">
      <c r="A54" s="8" t="s">
        <v>105</v>
      </c>
      <c r="B54">
        <v>0.79700000000000004</v>
      </c>
    </row>
    <row r="55" spans="1:2" x14ac:dyDescent="0.35">
      <c r="A55" s="8" t="s">
        <v>34</v>
      </c>
      <c r="B55">
        <v>0.81</v>
      </c>
    </row>
    <row r="56" spans="1:2" x14ac:dyDescent="0.35">
      <c r="A56" s="8" t="s">
        <v>106</v>
      </c>
      <c r="B56">
        <v>0.90249999999999997</v>
      </c>
    </row>
    <row r="57" spans="1:2" x14ac:dyDescent="0.35">
      <c r="A57" s="8" t="s">
        <v>57</v>
      </c>
      <c r="B57">
        <v>0.92</v>
      </c>
    </row>
    <row r="58" spans="1:2" x14ac:dyDescent="0.35">
      <c r="A58" s="8" t="s">
        <v>13</v>
      </c>
      <c r="B58">
        <v>0.92</v>
      </c>
    </row>
    <row r="59" spans="1:2" x14ac:dyDescent="0.35">
      <c r="A59" s="8" t="s">
        <v>26</v>
      </c>
      <c r="B59">
        <v>0.97</v>
      </c>
    </row>
    <row r="60" spans="1:2" x14ac:dyDescent="0.35">
      <c r="A60" s="8" t="s">
        <v>18</v>
      </c>
      <c r="B60">
        <v>0.56000000000000005</v>
      </c>
    </row>
    <row r="61" spans="1:2" x14ac:dyDescent="0.35">
      <c r="A61" s="8" t="s">
        <v>37</v>
      </c>
      <c r="B61">
        <v>0.9</v>
      </c>
    </row>
    <row r="62" spans="1:2" x14ac:dyDescent="0.35">
      <c r="A62" s="7" t="s">
        <v>36</v>
      </c>
      <c r="B62">
        <v>0.4</v>
      </c>
    </row>
    <row r="63" spans="1:2" x14ac:dyDescent="0.35">
      <c r="A63" s="7" t="s">
        <v>31</v>
      </c>
      <c r="B63">
        <v>0.9</v>
      </c>
    </row>
    <row r="64" spans="1:2" x14ac:dyDescent="0.35">
      <c r="A64" s="7" t="s">
        <v>35</v>
      </c>
      <c r="B64">
        <v>0.9</v>
      </c>
    </row>
    <row r="65" spans="1:2" x14ac:dyDescent="0.35">
      <c r="A65" s="7" t="s">
        <v>22</v>
      </c>
      <c r="B65">
        <v>0.45</v>
      </c>
    </row>
    <row r="66" spans="1:2" x14ac:dyDescent="0.35">
      <c r="A66" s="7" t="s">
        <v>38</v>
      </c>
      <c r="B66">
        <v>0.75</v>
      </c>
    </row>
    <row r="67" spans="1:2" x14ac:dyDescent="0.35">
      <c r="A67" s="7" t="s">
        <v>41</v>
      </c>
      <c r="B67">
        <v>0.7</v>
      </c>
    </row>
    <row r="68" spans="1:2" x14ac:dyDescent="0.35">
      <c r="A68" s="7" t="s">
        <v>45</v>
      </c>
      <c r="B68">
        <v>0.87</v>
      </c>
    </row>
    <row r="69" spans="1:2" x14ac:dyDescent="0.35">
      <c r="A69" s="7" t="s">
        <v>47</v>
      </c>
      <c r="B69">
        <v>0.79</v>
      </c>
    </row>
    <row r="70" spans="1:2" x14ac:dyDescent="0.35">
      <c r="A70" s="7" t="s">
        <v>53</v>
      </c>
      <c r="B70">
        <v>0.37</v>
      </c>
    </row>
    <row r="71" spans="1:2" x14ac:dyDescent="0.35">
      <c r="A71" s="7" t="s">
        <v>16</v>
      </c>
      <c r="B71">
        <v>0.63</v>
      </c>
    </row>
    <row r="72" spans="1:2" x14ac:dyDescent="0.35">
      <c r="A72" s="7" t="s">
        <v>55</v>
      </c>
      <c r="B72">
        <v>0.7</v>
      </c>
    </row>
    <row r="73" spans="1:2" x14ac:dyDescent="0.35">
      <c r="A73" s="8" t="s">
        <v>14</v>
      </c>
      <c r="B73">
        <v>1.04</v>
      </c>
    </row>
    <row r="74" spans="1:2" x14ac:dyDescent="0.35">
      <c r="A7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Nurmala</dc:creator>
  <cp:lastModifiedBy>Devi Nurmala</cp:lastModifiedBy>
  <dcterms:created xsi:type="dcterms:W3CDTF">2026-10-27T03:54:36Z</dcterms:created>
  <dcterms:modified xsi:type="dcterms:W3CDTF">2026-10-28T00:24:18Z</dcterms:modified>
</cp:coreProperties>
</file>